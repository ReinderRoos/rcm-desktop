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oos\claude-workspace\rcm-desktop\tests\fixtures\"/>
    </mc:Choice>
  </mc:AlternateContent>
  <xr:revisionPtr revIDLastSave="0" documentId="13_ncr:1_{232A8DD5-11D1-4297-A65E-10415A09E28C}" xr6:coauthVersionLast="47" xr6:coauthVersionMax="47" xr10:uidLastSave="{00000000-0000-0000-0000-000000000000}"/>
  <bookViews>
    <workbookView xWindow="-28920" yWindow="-1170" windowWidth="29040" windowHeight="15720" tabRatio="830" firstSheet="1" activeTab="1" xr2:uid="{00000000-000D-0000-FFFF-FFFF00000000}"/>
  </bookViews>
  <sheets>
    <sheet name="GAO_oud" sheetId="10" state="hidden" r:id="rId1"/>
    <sheet name="SAO" sheetId="13" r:id="rId2"/>
    <sheet name="GAO" sheetId="17" r:id="rId3"/>
    <sheet name="TAO" sheetId="15" r:id="rId4"/>
    <sheet name="Random" sheetId="12" r:id="rId5"/>
    <sheet name="RCMCost verg. uitk. GAO" sheetId="11" state="hidden" r:id="rId6"/>
    <sheet name="Fixed" sheetId="19" r:id="rId7"/>
    <sheet name="Resultaten vergelijking RCMCost" sheetId="18" r:id="rId8"/>
  </sheets>
  <definedNames>
    <definedName name="CM_kosten__€_taak">SAO!$C$7</definedName>
    <definedName name="Hersteltijd_CM__uur">SAO!$C$6</definedName>
    <definedName name="IA__jaar">SAO!$C$5</definedName>
    <definedName name="LCC__jaar">SAO!$C$2</definedName>
    <definedName name="MTTF__jaar">SAO!$C$3</definedName>
    <definedName name="St_def.__jaar">SAO!$C$4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2" l="1"/>
  <c r="C9" i="13"/>
  <c r="C23" i="19"/>
  <c r="C20" i="19"/>
  <c r="E2" i="19"/>
  <c r="C14" i="19"/>
  <c r="C15" i="19" s="1"/>
  <c r="C16" i="19" s="1"/>
  <c r="C24" i="19" l="1"/>
  <c r="C14" i="12"/>
  <c r="L56" i="18"/>
  <c r="K56" i="18"/>
  <c r="J56" i="18"/>
  <c r="I56" i="18"/>
  <c r="H56" i="18"/>
  <c r="G56" i="18"/>
  <c r="F56" i="18"/>
  <c r="E56" i="18"/>
  <c r="D56" i="18"/>
  <c r="C56" i="18"/>
  <c r="D43" i="18"/>
  <c r="E43" i="18"/>
  <c r="F43" i="18"/>
  <c r="G43" i="18"/>
  <c r="H43" i="18"/>
  <c r="I43" i="18"/>
  <c r="J43" i="18"/>
  <c r="C43" i="18"/>
  <c r="D42" i="18"/>
  <c r="E42" i="18"/>
  <c r="F42" i="18"/>
  <c r="G42" i="18"/>
  <c r="H42" i="18"/>
  <c r="I42" i="18"/>
  <c r="J42" i="18"/>
  <c r="C42" i="18"/>
  <c r="D26" i="18"/>
  <c r="E26" i="18"/>
  <c r="F26" i="18"/>
  <c r="G26" i="18"/>
  <c r="H26" i="18"/>
  <c r="J26" i="18"/>
  <c r="K26" i="18"/>
  <c r="L26" i="18"/>
  <c r="M26" i="18"/>
  <c r="N26" i="18"/>
  <c r="O26" i="18"/>
  <c r="P26" i="18"/>
  <c r="Q26" i="18"/>
  <c r="R26" i="18"/>
  <c r="S26" i="18"/>
  <c r="C26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C11" i="18"/>
  <c r="W5" i="17"/>
  <c r="W4" i="17"/>
  <c r="V3" i="17"/>
  <c r="V5" i="17"/>
  <c r="V4" i="17"/>
  <c r="U5" i="17"/>
  <c r="U4" i="17"/>
  <c r="E32" i="17"/>
  <c r="Q133" i="13"/>
  <c r="P133" i="13"/>
  <c r="Q132" i="13"/>
  <c r="P132" i="13"/>
  <c r="Q131" i="13"/>
  <c r="P131" i="13"/>
  <c r="Q130" i="13"/>
  <c r="P130" i="13"/>
  <c r="Q129" i="13"/>
  <c r="P129" i="13"/>
  <c r="Q128" i="13"/>
  <c r="P128" i="13"/>
  <c r="S128" i="13" s="1"/>
  <c r="Q127" i="13"/>
  <c r="P127" i="13"/>
  <c r="Q126" i="13"/>
  <c r="P126" i="13"/>
  <c r="Q125" i="13"/>
  <c r="P125" i="13"/>
  <c r="Q124" i="13"/>
  <c r="P124" i="13"/>
  <c r="S124" i="13" s="1"/>
  <c r="Q123" i="13"/>
  <c r="P123" i="13"/>
  <c r="S123" i="13" s="1"/>
  <c r="Q122" i="13"/>
  <c r="P122" i="13"/>
  <c r="S122" i="13" s="1"/>
  <c r="Q121" i="13"/>
  <c r="P121" i="13"/>
  <c r="Q120" i="13"/>
  <c r="P120" i="13"/>
  <c r="Q119" i="13"/>
  <c r="P119" i="13"/>
  <c r="Q118" i="13"/>
  <c r="P118" i="13"/>
  <c r="S118" i="13" s="1"/>
  <c r="Q117" i="13"/>
  <c r="P117" i="13"/>
  <c r="S117" i="13" s="1"/>
  <c r="Q116" i="13"/>
  <c r="P116" i="13"/>
  <c r="S116" i="13" s="1"/>
  <c r="Q115" i="13"/>
  <c r="P115" i="13"/>
  <c r="Q114" i="13"/>
  <c r="P114" i="13"/>
  <c r="Q113" i="13"/>
  <c r="P113" i="13"/>
  <c r="Q112" i="13"/>
  <c r="P112" i="13"/>
  <c r="S112" i="13" s="1"/>
  <c r="Q111" i="13"/>
  <c r="P111" i="13"/>
  <c r="S111" i="13" s="1"/>
  <c r="Q110" i="13"/>
  <c r="P110" i="13"/>
  <c r="S110" i="13" s="1"/>
  <c r="Q109" i="13"/>
  <c r="P109" i="13"/>
  <c r="Q108" i="13"/>
  <c r="P108" i="13"/>
  <c r="Q107" i="13"/>
  <c r="P107" i="13"/>
  <c r="Q106" i="13"/>
  <c r="P106" i="13"/>
  <c r="S106" i="13" s="1"/>
  <c r="Q105" i="13"/>
  <c r="P105" i="13"/>
  <c r="S105" i="13" s="1"/>
  <c r="Q104" i="13"/>
  <c r="P104" i="13"/>
  <c r="S104" i="13" s="1"/>
  <c r="Q103" i="13"/>
  <c r="P103" i="13"/>
  <c r="Q102" i="13"/>
  <c r="P102" i="13"/>
  <c r="Q101" i="13"/>
  <c r="P101" i="13"/>
  <c r="Q100" i="13"/>
  <c r="P100" i="13"/>
  <c r="S100" i="13" s="1"/>
  <c r="Q99" i="13"/>
  <c r="P99" i="13"/>
  <c r="S99" i="13" s="1"/>
  <c r="Q98" i="13"/>
  <c r="P98" i="13"/>
  <c r="S98" i="13" s="1"/>
  <c r="Q97" i="13"/>
  <c r="P97" i="13"/>
  <c r="Q96" i="13"/>
  <c r="P96" i="13"/>
  <c r="Q95" i="13"/>
  <c r="P95" i="13"/>
  <c r="Q94" i="13"/>
  <c r="P94" i="13"/>
  <c r="S94" i="13" s="1"/>
  <c r="Q93" i="13"/>
  <c r="P93" i="13"/>
  <c r="S93" i="13" s="1"/>
  <c r="Q92" i="13"/>
  <c r="P92" i="13"/>
  <c r="S92" i="13" s="1"/>
  <c r="Q91" i="13"/>
  <c r="P91" i="13"/>
  <c r="Q90" i="13"/>
  <c r="P90" i="13"/>
  <c r="Q89" i="13"/>
  <c r="P89" i="13"/>
  <c r="Q88" i="13"/>
  <c r="P88" i="13"/>
  <c r="S88" i="13" s="1"/>
  <c r="Q87" i="13"/>
  <c r="P87" i="13"/>
  <c r="S87" i="13" s="1"/>
  <c r="Q86" i="13"/>
  <c r="P86" i="13"/>
  <c r="S86" i="13" s="1"/>
  <c r="Q85" i="13"/>
  <c r="P85" i="13"/>
  <c r="Q84" i="13"/>
  <c r="P84" i="13"/>
  <c r="Q83" i="13"/>
  <c r="P83" i="13"/>
  <c r="Q82" i="13"/>
  <c r="P82" i="13"/>
  <c r="S82" i="13" s="1"/>
  <c r="Q81" i="13"/>
  <c r="P81" i="13"/>
  <c r="S81" i="13" s="1"/>
  <c r="Q80" i="13"/>
  <c r="P80" i="13"/>
  <c r="S80" i="13" s="1"/>
  <c r="Q79" i="13"/>
  <c r="P79" i="13"/>
  <c r="Q78" i="13"/>
  <c r="P78" i="13"/>
  <c r="Q77" i="13"/>
  <c r="P77" i="13"/>
  <c r="Q76" i="13"/>
  <c r="P76" i="13"/>
  <c r="S76" i="13" s="1"/>
  <c r="Q75" i="13"/>
  <c r="P75" i="13"/>
  <c r="S75" i="13" s="1"/>
  <c r="Q74" i="13"/>
  <c r="P74" i="13"/>
  <c r="S74" i="13" s="1"/>
  <c r="Q73" i="13"/>
  <c r="P73" i="13"/>
  <c r="Q72" i="13"/>
  <c r="P72" i="13"/>
  <c r="Q71" i="13"/>
  <c r="P71" i="13"/>
  <c r="Q70" i="13"/>
  <c r="P70" i="13"/>
  <c r="S70" i="13" s="1"/>
  <c r="Q69" i="13"/>
  <c r="P69" i="13"/>
  <c r="S69" i="13" s="1"/>
  <c r="Q68" i="13"/>
  <c r="P68" i="13"/>
  <c r="S68" i="13" s="1"/>
  <c r="Q67" i="13"/>
  <c r="P67" i="13"/>
  <c r="Q66" i="13"/>
  <c r="P66" i="13"/>
  <c r="Q65" i="13"/>
  <c r="P65" i="13"/>
  <c r="Q64" i="13"/>
  <c r="P64" i="13"/>
  <c r="S64" i="13" s="1"/>
  <c r="Q63" i="13"/>
  <c r="P63" i="13"/>
  <c r="S63" i="13" s="1"/>
  <c r="Q62" i="13"/>
  <c r="P62" i="13"/>
  <c r="S62" i="13" s="1"/>
  <c r="Q61" i="13"/>
  <c r="P61" i="13"/>
  <c r="Q60" i="13"/>
  <c r="P60" i="13"/>
  <c r="Q59" i="13"/>
  <c r="P59" i="13"/>
  <c r="Q58" i="13"/>
  <c r="P58" i="13"/>
  <c r="S58" i="13" s="1"/>
  <c r="Q57" i="13"/>
  <c r="P57" i="13"/>
  <c r="S57" i="13" s="1"/>
  <c r="Q56" i="13"/>
  <c r="P56" i="13"/>
  <c r="S56" i="13" s="1"/>
  <c r="Q55" i="13"/>
  <c r="P55" i="13"/>
  <c r="Q54" i="13"/>
  <c r="P54" i="13"/>
  <c r="Q53" i="13"/>
  <c r="P53" i="13"/>
  <c r="Q52" i="13"/>
  <c r="P52" i="13"/>
  <c r="Q51" i="13"/>
  <c r="P51" i="13"/>
  <c r="S51" i="13" s="1"/>
  <c r="Q50" i="13"/>
  <c r="P50" i="13"/>
  <c r="S50" i="13" s="1"/>
  <c r="Q49" i="13"/>
  <c r="P49" i="13"/>
  <c r="Q48" i="13"/>
  <c r="P48" i="13"/>
  <c r="Q47" i="13"/>
  <c r="P47" i="13"/>
  <c r="Q46" i="13"/>
  <c r="P46" i="13"/>
  <c r="S46" i="13" s="1"/>
  <c r="Q45" i="13"/>
  <c r="P45" i="13"/>
  <c r="S45" i="13" s="1"/>
  <c r="Q44" i="13"/>
  <c r="P44" i="13"/>
  <c r="S44" i="13" s="1"/>
  <c r="Q43" i="13"/>
  <c r="P43" i="13"/>
  <c r="Q42" i="13"/>
  <c r="P42" i="13"/>
  <c r="Q41" i="13"/>
  <c r="P41" i="13"/>
  <c r="Q40" i="13"/>
  <c r="P40" i="13"/>
  <c r="S40" i="13" s="1"/>
  <c r="Q39" i="13"/>
  <c r="P39" i="13"/>
  <c r="S39" i="13" s="1"/>
  <c r="Q38" i="13"/>
  <c r="P38" i="13"/>
  <c r="S38" i="13" s="1"/>
  <c r="Q37" i="13"/>
  <c r="P37" i="13"/>
  <c r="Q36" i="13"/>
  <c r="P36" i="13"/>
  <c r="Q35" i="13"/>
  <c r="P35" i="13"/>
  <c r="Q34" i="13"/>
  <c r="P34" i="13"/>
  <c r="S34" i="13" s="1"/>
  <c r="S35" i="13" l="1"/>
  <c r="S41" i="13"/>
  <c r="S47" i="13"/>
  <c r="S53" i="13"/>
  <c r="S59" i="13"/>
  <c r="S65" i="13"/>
  <c r="S71" i="13"/>
  <c r="S77" i="13"/>
  <c r="S83" i="13"/>
  <c r="S89" i="13"/>
  <c r="S95" i="13"/>
  <c r="S101" i="13"/>
  <c r="S107" i="13"/>
  <c r="S113" i="13"/>
  <c r="S119" i="13"/>
  <c r="S125" i="13"/>
  <c r="S131" i="13"/>
  <c r="S36" i="13"/>
  <c r="S42" i="13"/>
  <c r="S48" i="13"/>
  <c r="S54" i="13"/>
  <c r="S60" i="13"/>
  <c r="S66" i="13"/>
  <c r="S72" i="13"/>
  <c r="S78" i="13"/>
  <c r="S84" i="13"/>
  <c r="S90" i="13"/>
  <c r="S96" i="13"/>
  <c r="S102" i="13"/>
  <c r="S108" i="13"/>
  <c r="S114" i="13"/>
  <c r="S120" i="13"/>
  <c r="S126" i="13"/>
  <c r="S132" i="13"/>
  <c r="S37" i="13"/>
  <c r="S43" i="13"/>
  <c r="S49" i="13"/>
  <c r="S55" i="13"/>
  <c r="S61" i="13"/>
  <c r="S67" i="13"/>
  <c r="S73" i="13"/>
  <c r="S79" i="13"/>
  <c r="S85" i="13"/>
  <c r="S91" i="13"/>
  <c r="S97" i="13"/>
  <c r="S103" i="13"/>
  <c r="S109" i="13"/>
  <c r="S115" i="13"/>
  <c r="S121" i="13"/>
  <c r="S127" i="13"/>
  <c r="S133" i="13"/>
  <c r="S52" i="13"/>
  <c r="S129" i="13"/>
  <c r="S130" i="13"/>
  <c r="W29" i="17"/>
  <c r="W30" i="17" s="1"/>
  <c r="W9" i="17"/>
  <c r="C23" i="12"/>
  <c r="E5" i="17"/>
  <c r="O3" i="17"/>
  <c r="N3" i="17"/>
  <c r="AB13" i="11"/>
  <c r="AA13" i="11"/>
  <c r="Z13" i="11"/>
  <c r="Y13" i="11"/>
  <c r="X13" i="11"/>
  <c r="W13" i="11"/>
  <c r="V13" i="11"/>
  <c r="T13" i="11"/>
  <c r="S13" i="11"/>
  <c r="R13" i="11"/>
  <c r="Q13" i="11"/>
  <c r="P13" i="11"/>
  <c r="O13" i="11"/>
  <c r="N13" i="11"/>
  <c r="M13" i="11"/>
  <c r="P3" i="17" l="1"/>
  <c r="E8" i="17" s="1"/>
  <c r="E9" i="17" s="1"/>
  <c r="E10" i="17" s="1"/>
  <c r="P1" i="17"/>
  <c r="U6" i="17"/>
  <c r="U29" i="17"/>
  <c r="U30" i="17" s="1"/>
  <c r="U9" i="17" s="1"/>
  <c r="C43" i="15"/>
  <c r="C44" i="15" s="1"/>
  <c r="C14" i="15" s="1"/>
  <c r="E6" i="12"/>
  <c r="E11" i="17" l="1"/>
  <c r="E13" i="17" s="1"/>
  <c r="E12" i="17"/>
  <c r="V29" i="17"/>
  <c r="V30" i="17" s="1"/>
  <c r="V9" i="17"/>
  <c r="C12" i="12"/>
  <c r="G14" i="12" s="1"/>
  <c r="E13" i="12"/>
  <c r="C16" i="15"/>
  <c r="C15" i="15"/>
  <c r="C21" i="12"/>
  <c r="C31" i="13"/>
  <c r="C32" i="13" s="1"/>
  <c r="E3" i="12"/>
  <c r="E5" i="12"/>
  <c r="F14" i="17" l="1"/>
  <c r="E14" i="12"/>
  <c r="F16" i="17"/>
  <c r="V11" i="17"/>
  <c r="U3" i="17"/>
  <c r="V10" i="17"/>
  <c r="C13" i="12"/>
  <c r="E28" i="17"/>
  <c r="E21" i="17"/>
  <c r="F15" i="17"/>
  <c r="C26" i="15"/>
  <c r="C20" i="15"/>
  <c r="C17" i="15"/>
  <c r="C21" i="15" s="1"/>
  <c r="C11" i="13"/>
  <c r="C15" i="13" s="1"/>
  <c r="C20" i="12"/>
  <c r="C19" i="12"/>
  <c r="C10" i="13"/>
  <c r="Z17" i="11"/>
  <c r="Y17" i="11"/>
  <c r="X17" i="11"/>
  <c r="W17" i="11"/>
  <c r="V17" i="11"/>
  <c r="T17" i="11"/>
  <c r="S17" i="11"/>
  <c r="R17" i="11"/>
  <c r="Q17" i="11"/>
  <c r="P17" i="11"/>
  <c r="O17" i="11"/>
  <c r="N17" i="11"/>
  <c r="M17" i="11"/>
  <c r="C19" i="13" l="1"/>
  <c r="E30" i="12"/>
  <c r="E31" i="12" s="1"/>
  <c r="E29" i="12"/>
  <c r="G13" i="12"/>
  <c r="E27" i="12"/>
  <c r="W3" i="17"/>
  <c r="V19" i="17"/>
  <c r="V15" i="17"/>
  <c r="V12" i="17"/>
  <c r="U11" i="17"/>
  <c r="U10" i="17"/>
  <c r="C19" i="15"/>
  <c r="C22" i="15" s="1"/>
  <c r="C28" i="15"/>
  <c r="C27" i="15"/>
  <c r="C22" i="12"/>
  <c r="C26" i="12" s="1"/>
  <c r="C24" i="12"/>
  <c r="C27" i="12" s="1"/>
  <c r="G26" i="12" s="1"/>
  <c r="C12" i="13"/>
  <c r="C16" i="13" s="1"/>
  <c r="Z16" i="11"/>
  <c r="Y16" i="11"/>
  <c r="X16" i="11"/>
  <c r="W16" i="11"/>
  <c r="V16" i="11"/>
  <c r="T16" i="11"/>
  <c r="S16" i="11"/>
  <c r="R16" i="11"/>
  <c r="Q16" i="11"/>
  <c r="P16" i="11"/>
  <c r="O16" i="11"/>
  <c r="N16" i="11"/>
  <c r="M16" i="11"/>
  <c r="AB11" i="11"/>
  <c r="AA11" i="11"/>
  <c r="AB6" i="11"/>
  <c r="AA6" i="11"/>
  <c r="Z6" i="11"/>
  <c r="Y6" i="11"/>
  <c r="X6" i="11"/>
  <c r="W6" i="11"/>
  <c r="V6" i="11"/>
  <c r="T6" i="11"/>
  <c r="S6" i="11"/>
  <c r="R6" i="11"/>
  <c r="Q6" i="11"/>
  <c r="P6" i="11"/>
  <c r="O6" i="11"/>
  <c r="N6" i="11"/>
  <c r="M6" i="11"/>
  <c r="C23" i="15" l="1"/>
  <c r="G27" i="12"/>
  <c r="C28" i="12"/>
  <c r="C25" i="15"/>
  <c r="C30" i="15" s="1"/>
  <c r="C35" i="15" s="1"/>
  <c r="C39" i="15" s="1"/>
  <c r="W10" i="17"/>
  <c r="W11" i="17"/>
  <c r="V16" i="17"/>
  <c r="V21" i="17"/>
  <c r="V20" i="17"/>
  <c r="V18" i="17" s="1"/>
  <c r="V14" i="17"/>
  <c r="V24" i="17" s="1"/>
  <c r="E16" i="17" s="1"/>
  <c r="U19" i="17"/>
  <c r="U15" i="17"/>
  <c r="U12" i="17"/>
  <c r="U16" i="17" s="1"/>
  <c r="C29" i="15"/>
  <c r="C33" i="15" s="1"/>
  <c r="C20" i="13"/>
  <c r="C14" i="13"/>
  <c r="C21" i="13"/>
  <c r="AA16" i="11"/>
  <c r="AA17" i="11"/>
  <c r="AB16" i="11"/>
  <c r="AB17" i="11"/>
  <c r="C18" i="13" l="1"/>
  <c r="U20" i="17"/>
  <c r="U21" i="17"/>
  <c r="E26" i="17"/>
  <c r="E19" i="17"/>
  <c r="W19" i="17"/>
  <c r="W15" i="17"/>
  <c r="W12" i="17"/>
  <c r="W16" i="17" s="1"/>
  <c r="W21" i="17"/>
  <c r="W20" i="17"/>
  <c r="V25" i="17"/>
  <c r="C34" i="15"/>
  <c r="C38" i="15"/>
  <c r="C36" i="15"/>
  <c r="C37" i="15"/>
  <c r="U14" i="17"/>
  <c r="C24" i="13"/>
  <c r="C27" i="13" s="1"/>
  <c r="Q3" i="10"/>
  <c r="N7" i="10"/>
  <c r="N32" i="10" s="1"/>
  <c r="L7" i="10"/>
  <c r="L8" i="10" s="1"/>
  <c r="L9" i="10" s="1"/>
  <c r="M7" i="10"/>
  <c r="K7" i="10"/>
  <c r="J7" i="10"/>
  <c r="I7" i="10"/>
  <c r="H7" i="10"/>
  <c r="G7" i="10"/>
  <c r="F7" i="10"/>
  <c r="E5" i="10"/>
  <c r="P3" i="10"/>
  <c r="E7" i="10"/>
  <c r="N1" i="10" l="1"/>
  <c r="U18" i="17"/>
  <c r="U24" i="17" s="1"/>
  <c r="E14" i="17" s="1"/>
  <c r="W14" i="17"/>
  <c r="W18" i="17"/>
  <c r="C25" i="13"/>
  <c r="C26" i="13"/>
  <c r="L10" i="10"/>
  <c r="L28" i="10" s="1"/>
  <c r="F8" i="10"/>
  <c r="F9" i="10" s="1"/>
  <c r="F10" i="10" s="1"/>
  <c r="F28" i="10" s="1"/>
  <c r="G8" i="10"/>
  <c r="G9" i="10" s="1"/>
  <c r="G12" i="10" s="1"/>
  <c r="G14" i="10" s="1"/>
  <c r="H8" i="10"/>
  <c r="H9" i="10" s="1"/>
  <c r="H12" i="10" s="1"/>
  <c r="H14" i="10" s="1"/>
  <c r="I8" i="10"/>
  <c r="I9" i="10" s="1"/>
  <c r="I12" i="10" s="1"/>
  <c r="I14" i="10" s="1"/>
  <c r="J8" i="10"/>
  <c r="J9" i="10" s="1"/>
  <c r="J12" i="10" s="1"/>
  <c r="J14" i="10" s="1"/>
  <c r="K8" i="10"/>
  <c r="K9" i="10" s="1"/>
  <c r="K12" i="10" s="1"/>
  <c r="K14" i="10" s="1"/>
  <c r="M8" i="10"/>
  <c r="M9" i="10" s="1"/>
  <c r="M12" i="10" s="1"/>
  <c r="M14" i="10" s="1"/>
  <c r="N8" i="10"/>
  <c r="N9" i="10" s="1"/>
  <c r="N12" i="10" s="1"/>
  <c r="N14" i="10" s="1"/>
  <c r="L12" i="10"/>
  <c r="L14" i="10" s="1"/>
  <c r="N10" i="10"/>
  <c r="N28" i="10" s="1"/>
  <c r="E8" i="10"/>
  <c r="E9" i="10" s="1"/>
  <c r="F12" i="10" l="1"/>
  <c r="F14" i="10" s="1"/>
  <c r="U25" i="17"/>
  <c r="W24" i="17"/>
  <c r="W25" i="17" s="1"/>
  <c r="E15" i="17"/>
  <c r="E17" i="17"/>
  <c r="E24" i="17"/>
  <c r="M10" i="10"/>
  <c r="M28" i="10" s="1"/>
  <c r="J10" i="10"/>
  <c r="J28" i="10" s="1"/>
  <c r="I10" i="10"/>
  <c r="I28" i="10" s="1"/>
  <c r="G10" i="10"/>
  <c r="G28" i="10" s="1"/>
  <c r="H10" i="10"/>
  <c r="H28" i="10" s="1"/>
  <c r="K10" i="10"/>
  <c r="K11" i="10" s="1"/>
  <c r="K13" i="10" s="1"/>
  <c r="K15" i="10" s="1"/>
  <c r="N21" i="10"/>
  <c r="N16" i="10"/>
  <c r="N11" i="10"/>
  <c r="N13" i="10" s="1"/>
  <c r="N15" i="10" s="1"/>
  <c r="N29" i="10" s="1"/>
  <c r="N30" i="10" s="1"/>
  <c r="N24" i="10"/>
  <c r="N17" i="10"/>
  <c r="M24" i="10"/>
  <c r="M17" i="10"/>
  <c r="L21" i="10"/>
  <c r="L16" i="10"/>
  <c r="L11" i="10"/>
  <c r="L13" i="10" s="1"/>
  <c r="L15" i="10" s="1"/>
  <c r="L24" i="10"/>
  <c r="L17" i="10"/>
  <c r="K24" i="10"/>
  <c r="K17" i="10"/>
  <c r="J24" i="10"/>
  <c r="J17" i="10"/>
  <c r="I24" i="10"/>
  <c r="I17" i="10"/>
  <c r="H24" i="10"/>
  <c r="H17" i="10"/>
  <c r="G24" i="10"/>
  <c r="G17" i="10"/>
  <c r="F21" i="10"/>
  <c r="F16" i="10"/>
  <c r="F11" i="10"/>
  <c r="F13" i="10" s="1"/>
  <c r="F15" i="10" s="1"/>
  <c r="F29" i="10" s="1"/>
  <c r="F30" i="10" s="1"/>
  <c r="F24" i="10"/>
  <c r="F17" i="10"/>
  <c r="E12" i="10"/>
  <c r="E14" i="10" s="1"/>
  <c r="E10" i="10"/>
  <c r="E28" i="10" s="1"/>
  <c r="M21" i="10" l="1"/>
  <c r="J21" i="10"/>
  <c r="M11" i="10"/>
  <c r="M13" i="10" s="1"/>
  <c r="M15" i="10" s="1"/>
  <c r="M16" i="10"/>
  <c r="H11" i="10"/>
  <c r="H13" i="10" s="1"/>
  <c r="H15" i="10" s="1"/>
  <c r="K16" i="10"/>
  <c r="K26" i="10" s="1"/>
  <c r="H16" i="10"/>
  <c r="H26" i="10" s="1"/>
  <c r="K21" i="10"/>
  <c r="J16" i="10"/>
  <c r="J19" i="10" s="1"/>
  <c r="H21" i="10"/>
  <c r="J11" i="10"/>
  <c r="J13" i="10" s="1"/>
  <c r="J15" i="10" s="1"/>
  <c r="J29" i="10" s="1"/>
  <c r="J30" i="10" s="1"/>
  <c r="L29" i="10"/>
  <c r="L30" i="10" s="1"/>
  <c r="E25" i="17"/>
  <c r="E27" i="17" s="1"/>
  <c r="E18" i="17"/>
  <c r="E20" i="17" s="1"/>
  <c r="E22" i="17" s="1"/>
  <c r="E23" i="17" s="1"/>
  <c r="E29" i="17"/>
  <c r="E30" i="17" s="1"/>
  <c r="I11" i="10"/>
  <c r="I13" i="10" s="1"/>
  <c r="I15" i="10" s="1"/>
  <c r="I16" i="10"/>
  <c r="I26" i="10" s="1"/>
  <c r="G11" i="10"/>
  <c r="G13" i="10" s="1"/>
  <c r="G15" i="10" s="1"/>
  <c r="I21" i="10"/>
  <c r="G16" i="10"/>
  <c r="G19" i="10" s="1"/>
  <c r="K29" i="10"/>
  <c r="K30" i="10" s="1"/>
  <c r="G21" i="10"/>
  <c r="K28" i="10"/>
  <c r="F25" i="10"/>
  <c r="F18" i="10"/>
  <c r="F26" i="10"/>
  <c r="F19" i="10"/>
  <c r="H25" i="10"/>
  <c r="H18" i="10"/>
  <c r="K25" i="10"/>
  <c r="K18" i="10"/>
  <c r="L25" i="10"/>
  <c r="L18" i="10"/>
  <c r="L26" i="10"/>
  <c r="L19" i="10"/>
  <c r="M25" i="10"/>
  <c r="M18" i="10"/>
  <c r="M26" i="10"/>
  <c r="M19" i="10"/>
  <c r="N25" i="10"/>
  <c r="N18" i="10"/>
  <c r="N26" i="10"/>
  <c r="N19" i="10"/>
  <c r="E11" i="10"/>
  <c r="E13" i="10" s="1"/>
  <c r="E15" i="10" s="1"/>
  <c r="E16" i="10"/>
  <c r="E19" i="10" s="1"/>
  <c r="E24" i="10"/>
  <c r="E17" i="10"/>
  <c r="E21" i="10"/>
  <c r="E29" i="10"/>
  <c r="E30" i="10" s="1"/>
  <c r="J26" i="10" l="1"/>
  <c r="J25" i="10"/>
  <c r="H29" i="10"/>
  <c r="H30" i="10" s="1"/>
  <c r="E26" i="10"/>
  <c r="K19" i="10"/>
  <c r="G26" i="10"/>
  <c r="J18" i="10"/>
  <c r="J20" i="10" s="1"/>
  <c r="J22" i="10" s="1"/>
  <c r="J23" i="10" s="1"/>
  <c r="M29" i="10"/>
  <c r="M30" i="10" s="1"/>
  <c r="H19" i="10"/>
  <c r="H20" i="10" s="1"/>
  <c r="H22" i="10" s="1"/>
  <c r="H23" i="10" s="1"/>
  <c r="G29" i="10"/>
  <c r="G30" i="10" s="1"/>
  <c r="G18" i="10"/>
  <c r="G20" i="10" s="1"/>
  <c r="G22" i="10" s="1"/>
  <c r="G23" i="10" s="1"/>
  <c r="I29" i="10"/>
  <c r="I30" i="10" s="1"/>
  <c r="I25" i="10"/>
  <c r="I27" i="10" s="1"/>
  <c r="G25" i="10"/>
  <c r="I19" i="10"/>
  <c r="I18" i="10"/>
  <c r="N20" i="10"/>
  <c r="N22" i="10" s="1"/>
  <c r="N23" i="10" s="1"/>
  <c r="N27" i="10"/>
  <c r="M20" i="10"/>
  <c r="M22" i="10" s="1"/>
  <c r="M23" i="10" s="1"/>
  <c r="M27" i="10"/>
  <c r="L20" i="10"/>
  <c r="L22" i="10" s="1"/>
  <c r="L23" i="10" s="1"/>
  <c r="L27" i="10"/>
  <c r="K20" i="10"/>
  <c r="K22" i="10" s="1"/>
  <c r="K23" i="10" s="1"/>
  <c r="K27" i="10"/>
  <c r="J27" i="10"/>
  <c r="H27" i="10"/>
  <c r="F20" i="10"/>
  <c r="F22" i="10" s="1"/>
  <c r="F23" i="10" s="1"/>
  <c r="F27" i="10"/>
  <c r="E18" i="10"/>
  <c r="E25" i="10"/>
  <c r="E27" i="10"/>
  <c r="I20" i="10" l="1"/>
  <c r="I22" i="10" s="1"/>
  <c r="I23" i="10" s="1"/>
  <c r="G27" i="10"/>
  <c r="E20" i="10"/>
  <c r="E22" i="10" l="1"/>
  <c r="E2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tc={030923CB-8776-47FB-BB87-5885EBC464BA}</author>
    <author>tc={53FA734C-DCA7-4A64-A648-EE79E69250E9}</author>
    <author>tc={343142F6-B939-4E50-A52C-FE36E91CE676}</author>
    <author>tc={6E449172-0E9A-4531-A73B-D9007D6A3E06}</author>
    <author>tc={B94EF7A6-841E-40F0-87F1-C0BC8968D87D}</author>
  </authors>
  <commentList>
    <comment ref="U3" authorId="0" shapeId="0" xr:uid="{030923CB-8776-47FB-BB87-5885EBC464B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Is hier “aantal jaren tot eerste vervanging”</t>
      </text>
    </comment>
    <comment ref="V3" authorId="1" shapeId="0" xr:uid="{53FA734C-DCA7-4A64-A648-EE79E69250E9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Is hier “interval van PM taak”
</t>
      </text>
    </comment>
    <comment ref="W3" authorId="2" shapeId="0" xr:uid="{343142F6-B939-4E50-A52C-FE36E91CE676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Is hier “aantal jaren na laatste vervanging”
</t>
      </text>
    </comment>
    <comment ref="V6" authorId="3" shapeId="0" xr:uid="{6E449172-0E9A-4531-A73B-D9007D6A3E06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Is hier dus altijd 0</t>
      </text>
    </comment>
    <comment ref="W6" authorId="4" shapeId="0" xr:uid="{B94EF7A6-841E-40F0-87F1-C0BC8968D87D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Is hier dus altijd 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tc={0B7E556A-A196-40BB-B1AB-B5378B8F3901}</author>
  </authors>
  <commentList>
    <comment ref="B23" authorId="0" shapeId="0" xr:uid="{0B7E556A-A196-40BB-B1AB-B5378B8F390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Gebruik van 0,5 levert geen goede uitkomst in situaties waarin Testinterval hoog is in verhouding tot MTTF.
Dus geen 0,5*lambda*T maar zie onderstaande bron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Oussoren, Michiel</author>
  </authors>
  <commentList>
    <comment ref="R9" authorId="0" shapeId="0" xr:uid="{D2EA5E73-E797-46DB-BC23-BBEB082D476F}">
      <text>
        <r>
          <rPr>
            <b/>
            <sz val="9"/>
            <color indexed="81"/>
            <rFont val="Tahoma"/>
            <charset val="1"/>
          </rPr>
          <t>Oussoren, Michiel:</t>
        </r>
        <r>
          <rPr>
            <sz val="9"/>
            <color indexed="81"/>
            <rFont val="Tahoma"/>
            <charset val="1"/>
          </rPr>
          <t xml:space="preserve">
Offset groter dan toegestaan volgens model.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tc={E4FAAE8C-DEF0-4E56-B6A2-61017C63B76C}</author>
    <author>tc={55B507F3-9BE6-4BEC-9D99-DA28DBEF317F}</author>
    <author>tc={78F191B1-ED68-416E-95D4-81E728AFE694}</author>
    <author>tc={77C5906D-A906-4DBF-914C-01656E13D5C1}</author>
  </authors>
  <commentList>
    <comment ref="E7" authorId="0" shapeId="0" xr:uid="{E4FAAE8C-DEF0-4E56-B6A2-61017C63B76C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Verschil met RCMCost als jaren na laatste MTTF binnen LCC (restjaren) hoog zijn in verhouding tot MTTF -&gt; in deze simulatie 2 jaar op een MTTF van 3.</t>
      </text>
    </comment>
    <comment ref="F7" authorId="1" shapeId="0" xr:uid="{55B507F3-9BE6-4BEC-9D99-DA28DBEF317F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Komt hier al heel dicht aan RCMCost -&gt; in deze simulatie 1 restjaar op een MTTF van 4.
</t>
      </text>
    </comment>
    <comment ref="H21" authorId="2" shapeId="0" xr:uid="{78F191B1-ED68-416E-95D4-81E728AFE694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Merk op dat deze simulatie feitelijk gelijk is aan ‘SAO simulatie 3’.</t>
      </text>
    </comment>
    <comment ref="C35" authorId="3" shapeId="0" xr:uid="{77C5906D-A906-4DBF-914C-01656E13D5C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Overeenkomstig met ‘SAO simulatie 3’ en ‘GAO simulatie 6’.</t>
      </text>
    </comment>
  </commentList>
</comments>
</file>

<file path=xl/sharedStrings.xml><?xml version="1.0" encoding="utf-8"?>
<sst xmlns="http://schemas.openxmlformats.org/spreadsheetml/2006/main" count="492" uniqueCount="265">
  <si>
    <t>ID: Input-1</t>
  </si>
  <si>
    <t xml:space="preserve">Maximale offset waarde (voor interval kolom N): </t>
  </si>
  <si>
    <t>MTTF
[jaar]</t>
  </si>
  <si>
    <t>Std def.</t>
  </si>
  <si>
    <t>Hersteltijd PM [uur]</t>
  </si>
  <si>
    <t>Hersteltijd CM [uur]</t>
  </si>
  <si>
    <t>PM
[kosten/x]</t>
  </si>
  <si>
    <t>CM [kosten/x]</t>
  </si>
  <si>
    <t>Detectie kans</t>
  </si>
  <si>
    <t>Insp. Kosten
[kosten/jr.]</t>
  </si>
  <si>
    <t>LCC periode [jaar]</t>
  </si>
  <si>
    <t>Startjaar analyse</t>
  </si>
  <si>
    <t>IA jaar</t>
  </si>
  <si>
    <t>Offset [jaar]</t>
  </si>
  <si>
    <t>Laatste analyse jaar</t>
  </si>
  <si>
    <t>IA [jaar]</t>
  </si>
  <si>
    <t>Interval</t>
  </si>
  <si>
    <t>8 jaar</t>
  </si>
  <si>
    <t>7 jaar</t>
  </si>
  <si>
    <t xml:space="preserve">Maximale interval waarde: </t>
  </si>
  <si>
    <t>x</t>
  </si>
  <si>
    <t>Percentage van MTTF</t>
  </si>
  <si>
    <t>JAREN</t>
  </si>
  <si>
    <r>
      <rPr>
        <b/>
        <sz val="11"/>
        <rFont val="Calibri"/>
        <family val="2"/>
        <scheme val="minor"/>
      </rPr>
      <t>Aannamens bij bepalen jaartallen</t>
    </r>
    <r>
      <rPr>
        <sz val="11"/>
        <rFont val="Calibri"/>
        <family val="2"/>
        <scheme val="minor"/>
      </rPr>
      <t>:</t>
    </r>
  </si>
  <si>
    <t>Jaar van uitvoering (incl. achterstallig)</t>
  </si>
  <si>
    <t>&gt; vervanging op 1 januari van het jaar</t>
  </si>
  <si>
    <t>Eerste jaar van uitvoering</t>
  </si>
  <si>
    <t>&gt; vervanging kost geen tijd</t>
  </si>
  <si>
    <t>Aantal vervangingen binnen LCC</t>
  </si>
  <si>
    <t>&gt; een vast PM interval onafhankelijk van mogelijke CM vervanging</t>
  </si>
  <si>
    <t>Laatste jaar van uitvoering</t>
  </si>
  <si>
    <t>Aantal jaren tot eerste verv. binnen LCC</t>
  </si>
  <si>
    <t>Aantal jaren na laaste verv. binnen LCC</t>
  </si>
  <si>
    <t>KANSEN</t>
  </si>
  <si>
    <t>Kans op falen tot eerste verv.</t>
  </si>
  <si>
    <t>Aannamens bij bepalen kansen:</t>
  </si>
  <si>
    <t>Kans op falen na laatste verv.</t>
  </si>
  <si>
    <t>&gt; één keer falen mogelijk tot PM taak, ter versimpeling van formules.</t>
  </si>
  <si>
    <t>Kans op falen tussenliggende verv.</t>
  </si>
  <si>
    <t>&gt; Let op, bij onrealistisch hoge offset waarden onlogische uitkomst.</t>
  </si>
  <si>
    <t>KOSTEN</t>
  </si>
  <si>
    <t>Kosten CM tot eerste verv.</t>
  </si>
  <si>
    <t>Ondervangen met maximale offset &amp; interval waarden:</t>
  </si>
  <si>
    <t>Kosten CM na laatste verv.</t>
  </si>
  <si>
    <r>
      <t xml:space="preserve">interval </t>
    </r>
    <r>
      <rPr>
        <sz val="11"/>
        <rFont val="Aptos Narrow"/>
        <family val="2"/>
      </rPr>
      <t>≤ MTTF + (2*st. dev.)</t>
    </r>
  </si>
  <si>
    <t>Kosten CM tussenliggend</t>
  </si>
  <si>
    <t>offset ≤ MTTF + (2*st. dev.) - interval + Max(IA-(MTTF + (2*st. dev.));0)</t>
  </si>
  <si>
    <t>Kosten CM gedurende LCC per.</t>
  </si>
  <si>
    <t>Kosten PM gedurende LCC per.</t>
  </si>
  <si>
    <t>de Max waarde om te corrigeren voor situatie waarin IA &gt; MTTF + (2*st. dev.)</t>
  </si>
  <si>
    <t>Kosten totaal gedurende LCC per.</t>
  </si>
  <si>
    <t>Kosten tot. / jaar</t>
  </si>
  <si>
    <t>RA prestatie</t>
  </si>
  <si>
    <t>ONB tot eerste verv. [uur]</t>
  </si>
  <si>
    <t>ONB na laaste verv. [uur]</t>
  </si>
  <si>
    <t>ONB tussenliggend [uur]</t>
  </si>
  <si>
    <t>ONB [uur/jaar]</t>
  </si>
  <si>
    <t>VNB [uur/jaar]</t>
  </si>
  <si>
    <t>Unreliability [-/LCC periode]</t>
  </si>
  <si>
    <t>Unreliability [-/jaar]</t>
  </si>
  <si>
    <t>Langjarig gemiddelde (formule Compass oud):</t>
  </si>
  <si>
    <t>LCC [jaar]</t>
  </si>
  <si>
    <t>MTTF [jaar]</t>
  </si>
  <si>
    <t>St def. [jaar]</t>
  </si>
  <si>
    <t>CM kosten [€/taak]</t>
  </si>
  <si>
    <t>-&gt; Voor Compass: als Cel C9 een negatief getal wordt dan 0 maken in Compass.</t>
  </si>
  <si>
    <t>Jaren tot eerste MTTF (x)</t>
  </si>
  <si>
    <t>-&gt; als IA  binnen twee st. dev. van MTTF dan nieuw gemiddeld tijdstip tot eerste keer falen bepalen.</t>
  </si>
  <si>
    <t>Norm. verd. binnen LCC</t>
  </si>
  <si>
    <t>-&gt; als x&gt;= LCC dan geen of één top (precies de helft) binnen LCC</t>
  </si>
  <si>
    <t>Aantal toppen binnen LCC</t>
  </si>
  <si>
    <t>-&gt; als LCC-x&gt;=MTTF dan 2 of meer toppen binnen LCC (minimaal 1 + precies de helft)</t>
  </si>
  <si>
    <t>Rest jaren na laatste MTTF</t>
  </si>
  <si>
    <t>-&gt; anders één top binnen LCC.</t>
  </si>
  <si>
    <t>Minder dan 2 toppen:</t>
  </si>
  <si>
    <t>Top 1</t>
  </si>
  <si>
    <t>Start van top na LCC</t>
  </si>
  <si>
    <t>Opmerkingen bij SAO modellering:</t>
  </si>
  <si>
    <t>2 of meer toppen:</t>
  </si>
  <si>
    <t>&gt; bepaal passend aantal normale verdelingen binnen LCC tijd</t>
  </si>
  <si>
    <t>n-1 Toppen</t>
  </si>
  <si>
    <t>&gt; IA is van belang.</t>
  </si>
  <si>
    <t>Laatste top</t>
  </si>
  <si>
    <t>-&gt; voor laatste top kans tm MTTF+restjaren</t>
  </si>
  <si>
    <r>
      <t xml:space="preserve">-&gt; versimpeling in formule -&gt; als IA&gt;=MTTF, dan direct correctief falen. Dit is te snel, geeft een overschatting. -&gt; </t>
    </r>
    <r>
      <rPr>
        <u/>
        <sz val="11"/>
        <color rgb="FFFF0000"/>
        <rFont val="Calibri"/>
        <family val="2"/>
        <scheme val="minor"/>
      </rPr>
      <t>NEE, ZIE VOLGENDE PUNT</t>
    </r>
  </si>
  <si>
    <t>*op IA=MTTF is overschatting maximaal.</t>
  </si>
  <si>
    <t>&gt; als IA  binnen twee st. dev. van MTTF dan nieuw gemiddeld tijdstip tot eerste keer falen bepalen.</t>
  </si>
  <si>
    <t>Eindresultaten:</t>
  </si>
  <si>
    <t>*Middels links afkappen Normale verdeling</t>
  </si>
  <si>
    <t>Unreliability over LCC [-]</t>
  </si>
  <si>
    <t>ONB over LCC [uur]</t>
  </si>
  <si>
    <r>
      <t>Kosten CM over LCC [</t>
    </r>
    <r>
      <rPr>
        <sz val="11"/>
        <rFont val="Calibri"/>
        <family val="2"/>
      </rPr>
      <t>€</t>
    </r>
    <r>
      <rPr>
        <sz val="11"/>
        <rFont val="Calibri"/>
        <family val="2"/>
        <scheme val="minor"/>
      </rPr>
      <t>]</t>
    </r>
  </si>
  <si>
    <t>Links afkappen:</t>
  </si>
  <si>
    <t>Alpha</t>
  </si>
  <si>
    <t>Nieuw gemiddelde</t>
  </si>
  <si>
    <t>-&gt; 'als.fout' omdat als IA hoog is i.v.t. MTTF dan delen door 0.</t>
  </si>
  <si>
    <t>-&gt; in Compass nooit 0 want gebruik van tabel met resultaten voor standaard normale verdeling --&gt;</t>
  </si>
  <si>
    <t>-&gt; dit omdat in Compass normele verdelingsfunctie gem. niet 0 mag zijn EN alleen cum. resultaat geeft.</t>
  </si>
  <si>
    <t>Bron:</t>
  </si>
  <si>
    <t>https://people.sc.fsu.edu/~jburkardt/presentations/truncated_normal.pdf</t>
  </si>
  <si>
    <t>-&gt; pagina 23 voor de CDF functie.</t>
  </si>
  <si>
    <t>-&gt; pagina's 25 voor nieuwe MTTF berekening.</t>
  </si>
  <si>
    <t>Alleen van linkerkant afkappen levert met b op oneindig:</t>
  </si>
  <si>
    <t xml:space="preserve">Maximale offset waarde: </t>
  </si>
  <si>
    <t>PM kosten
[€/taak]</t>
  </si>
  <si>
    <t>Gek. jaart. van uitvoer.</t>
  </si>
  <si>
    <t>Aantal keer falen, alleen als Interval of IA te hoog is (SAO copy)</t>
  </si>
  <si>
    <t>Interval:</t>
  </si>
  <si>
    <t>*de Max waarde om te corrigeren voor situatie waarin IA &gt; MTTF + (2*st. dev.)</t>
  </si>
  <si>
    <t>&gt; Of oplossen via SAO manier!</t>
  </si>
  <si>
    <t>*Let op: Hierdoor grote kans op één of meerdere keren falen voor eerste PM vervanging.</t>
  </si>
  <si>
    <t xml:space="preserve">Formule Compass oud Unre. over LCC [-]: </t>
  </si>
  <si>
    <t>Aannamens TAO modellering:</t>
  </si>
  <si>
    <t>&gt; Gemiddeld op MTTF vervangen of falen -&gt;</t>
  </si>
  <si>
    <t>*redelijke  aanname bij klein PF-interval ten opzichte van MTTF (en conservatief).</t>
  </si>
  <si>
    <t>Detectie kans [-]</t>
  </si>
  <si>
    <r>
      <t xml:space="preserve">* bepaal passend aantal normale verdelingen (toppen) binnen LCC tijd -&gt; </t>
    </r>
    <r>
      <rPr>
        <u/>
        <sz val="11"/>
        <color theme="1"/>
        <rFont val="Calibri"/>
        <family val="2"/>
        <scheme val="minor"/>
      </rPr>
      <t>gelijke methode als bij SAO strategie.</t>
    </r>
  </si>
  <si>
    <t>* IA is hierin van belang.</t>
  </si>
  <si>
    <t>*Offset heeft geen effect op uitkomsten</t>
  </si>
  <si>
    <t>Inspectie kosten [€/jaar]</t>
  </si>
  <si>
    <t>&gt; Detectie kans: kans dat correctief falen voorkomen wordt door inspecteren</t>
  </si>
  <si>
    <t>PM kosten [€/taak]</t>
  </si>
  <si>
    <t>Deze kans hangt af van o.a.:</t>
  </si>
  <si>
    <t>*Inspectie interval in relatie tot PF-interval.</t>
  </si>
  <si>
    <t>*Hoe goed de storingsvoorspellende grootheid te meten/detecteren is.</t>
  </si>
  <si>
    <t>*Hoe goed de inspectie wordt uitgevoerd (tooling/training personeel etc.)</t>
  </si>
  <si>
    <t>&gt; Gemiddeld aantal PM taken binnen LCC -&gt; hoeft geen geheel getal te zijn!</t>
  </si>
  <si>
    <t>&gt;Ter versimpeling van formules:</t>
  </si>
  <si>
    <t>*Als IA&gt;= MTTF dan alsnog vast blijven houden aan Detection probability -&gt; dit is niet conservatief.</t>
  </si>
  <si>
    <t>*Dus in huidige formules geen relatie tussen IA en detectie kans.</t>
  </si>
  <si>
    <t>Wens Maurice:</t>
  </si>
  <si>
    <t>-&gt; Veld voor opname Storingsvoorspellende grootheid.</t>
  </si>
  <si>
    <t>CM falen binnen LCC</t>
  </si>
  <si>
    <t>-&gt; Rekenen met minimale leeftijd voor eerste inspectie taak (ala optie in RCMCost).</t>
  </si>
  <si>
    <t>PM vervangingen binnen LCC</t>
  </si>
  <si>
    <t>VNB over LCC [uur]</t>
  </si>
  <si>
    <r>
      <t>Kosten PM over LCC [</t>
    </r>
    <r>
      <rPr>
        <sz val="11"/>
        <rFont val="Calibri"/>
        <family val="2"/>
      </rPr>
      <t>€</t>
    </r>
    <r>
      <rPr>
        <sz val="11"/>
        <rFont val="Calibri"/>
        <family val="2"/>
        <scheme val="minor"/>
      </rPr>
      <t>]</t>
    </r>
  </si>
  <si>
    <t>Opmerkingen bij Random falen:</t>
  </si>
  <si>
    <t>-&gt;</t>
  </si>
  <si>
    <t xml:space="preserve"> [-/uur]</t>
  </si>
  <si>
    <t>&gt; Alleen LCC tijd en MTTF van belang, IA, offset en PM taak niet.</t>
  </si>
  <si>
    <t>Dormant falen (j of n)</t>
  </si>
  <si>
    <t>j</t>
  </si>
  <si>
    <t>&gt; Bij merkbaar falen, niet uitgaan van kans onder verdelingsfunctie! Op MTTF gemiddeld één keer gefaald.</t>
  </si>
  <si>
    <t>Testinterval [jaar]</t>
  </si>
  <si>
    <t xml:space="preserve"> [uur]</t>
  </si>
  <si>
    <t>&gt; Als Dormant falen, dan kans onder verdelingsfunctie.</t>
  </si>
  <si>
    <t xml:space="preserve"> [jaar]</t>
  </si>
  <si>
    <t>&gt; Bij Dormant falen mag Testinterval niet 0 zijn.</t>
  </si>
  <si>
    <t xml:space="preserve"> Test kosten [€/taak]</t>
  </si>
  <si>
    <t>Gele rekenresultaten zijn van belang binnen het Compass</t>
  </si>
  <si>
    <t>Merkbaar falen:</t>
  </si>
  <si>
    <t>Controle Merkbaar falen:</t>
  </si>
  <si>
    <t>-&gt; Dus steady-state NB formule. Resultaat t.a.v. NB niet afhankelijk van LCC.</t>
  </si>
  <si>
    <t>FT+ formule:</t>
  </si>
  <si>
    <t>Via LCC:</t>
  </si>
  <si>
    <t>*Keuze t.b.v. het simpel houden van de formules.</t>
  </si>
  <si>
    <t>NB [-]</t>
  </si>
  <si>
    <t>*Steady-state NB is als gelijk aan LCC NB als  LCC &gt;&gt; hersteltijd.</t>
  </si>
  <si>
    <t>Kosten over LCC [€]</t>
  </si>
  <si>
    <t>Faal Freq. [-/uur]</t>
  </si>
  <si>
    <t>Dormant falen:</t>
  </si>
  <si>
    <t>-&gt; Resultaat t.a.v. NB afhankelijk van LCC.</t>
  </si>
  <si>
    <t>Aantal testen in LCC</t>
  </si>
  <si>
    <t>*Als LCC &gt;&gt; T+hersteltijd dan verschil tussen LCC benadering en FT+ formule steeds kleiner.</t>
  </si>
  <si>
    <t>Rest jaren na laatste inspectie</t>
  </si>
  <si>
    <t>Kans op falen tot inspectie</t>
  </si>
  <si>
    <t>Kans op falen in restjaren</t>
  </si>
  <si>
    <t>Gem. % van T i.r.t. NMF</t>
  </si>
  <si>
    <t>Gem. % van T i.r.t. NMF restjr.</t>
  </si>
  <si>
    <t>Controle NMF:</t>
  </si>
  <si>
    <r>
      <t>-&gt; FT+ formules -&gt;</t>
    </r>
    <r>
      <rPr>
        <u/>
        <sz val="11"/>
        <color theme="1"/>
        <rFont val="Calibri"/>
        <family val="2"/>
        <scheme val="minor"/>
      </rPr>
      <t xml:space="preserve"> gemiddelde NB</t>
    </r>
    <r>
      <rPr>
        <sz val="11"/>
        <color theme="1"/>
        <rFont val="Calibri"/>
        <family val="2"/>
        <scheme val="minor"/>
      </rPr>
      <t xml:space="preserve"> voor Dormant faalmodel</t>
    </r>
  </si>
  <si>
    <t>https://thescipub.com/pdf/jmssp.2008.284.288.pdf</t>
  </si>
  <si>
    <t>µ</t>
  </si>
  <si>
    <t>is gemiddelde (MTTF) over exponentiele verdeling tot tijd b (dus rechts afgekapt).</t>
  </si>
  <si>
    <t>θ</t>
  </si>
  <si>
    <t>is de frequentie (normaal lambda)</t>
  </si>
  <si>
    <t>Geen dormant falen, wel fixed interval</t>
  </si>
  <si>
    <t>LCC 5 Jaar</t>
  </si>
  <si>
    <t>LCC 10 Jaar</t>
  </si>
  <si>
    <t>Simulatie</t>
  </si>
  <si>
    <t>Input in jaren:</t>
  </si>
  <si>
    <t>LCC</t>
  </si>
  <si>
    <t>MTTF</t>
  </si>
  <si>
    <t>St. dev.</t>
  </si>
  <si>
    <t>IA</t>
  </si>
  <si>
    <t>Offset</t>
  </si>
  <si>
    <t>Uren MTTR (gepland)</t>
  </si>
  <si>
    <t>Uren MTTR (ongepland)</t>
  </si>
  <si>
    <t>Storingen over LCC:</t>
  </si>
  <si>
    <t>Compass nieuw</t>
  </si>
  <si>
    <t>Compass Mendix</t>
  </si>
  <si>
    <t>Compass oud</t>
  </si>
  <si>
    <t>RCMCost</t>
  </si>
  <si>
    <t>ONB over LLC:</t>
  </si>
  <si>
    <t>Compass (nieuw) (uur)</t>
  </si>
  <si>
    <t>Compass (oud) (uur)</t>
  </si>
  <si>
    <t>Opmerkingen</t>
  </si>
  <si>
    <t xml:space="preserve"> op 16,2</t>
  </si>
  <si>
    <t>Opvallend dat Compass hogere waarde berekend.</t>
  </si>
  <si>
    <t>Met maximale offset waarde, valt het verschil mee.</t>
  </si>
  <si>
    <t>Met maximale interval waarde, valt het verschil mee.</t>
  </si>
  <si>
    <t>Net als bij 2 geeft Compass weer een hogere uitkomst. Compass kapt de normale verdeling af, dit geeft net een andere uitkomst.</t>
  </si>
  <si>
    <t>Gelijke uitkomst -&gt; zie 2 &amp; 7. Als LCC tijd tot MTTF dan komen de uitkomsten naar elkaar.</t>
  </si>
  <si>
    <t>@ Michiel:</t>
  </si>
  <si>
    <t>--&gt; weet niet of het mogelijk is, maar ben ook wel benieuwd wat de ONB oplevert, oude rekenregels Compass (nu) vs. nieuwe rekenregels Compass. Zie rijen hierboven ONB over LCC</t>
  </si>
  <si>
    <t>Michiel: Ja, zal ik doen. Let wel dat het oude Compass niet met LCC rekend. Dus als resultaat daarvoor over de LCC wordt dan --&gt; gemiddeld/jaar*LCCtijd</t>
  </si>
  <si>
    <r>
      <t xml:space="preserve">--&gt; geen dormant, wel fixed interval? -&gt; je bedoeld dat gg een </t>
    </r>
    <r>
      <rPr>
        <u/>
        <sz val="11"/>
        <color rgb="FFFF0000"/>
        <rFont val="Calibri"/>
        <family val="2"/>
        <scheme val="minor"/>
      </rPr>
      <t>normal verdeling falen (MTTF)</t>
    </r>
    <r>
      <rPr>
        <sz val="11"/>
        <color rgb="FFFF0000"/>
        <rFont val="Calibri"/>
        <family val="2"/>
        <scheme val="minor"/>
      </rPr>
      <t xml:space="preserve"> de OH interval altijd op vaste interval waarde wordt uitvoerd, toch? Je hebt toch geen</t>
    </r>
    <r>
      <rPr>
        <u/>
        <sz val="11"/>
        <color rgb="FFFF0000"/>
        <rFont val="Calibri"/>
        <family val="2"/>
        <scheme val="minor"/>
      </rPr>
      <t xml:space="preserve"> fixed faalverdeling</t>
    </r>
    <r>
      <rPr>
        <sz val="11"/>
        <color rgb="FFFF0000"/>
        <rFont val="Calibri"/>
        <family val="2"/>
        <scheme val="minor"/>
      </rPr>
      <t xml:space="preserve"> gebruikt neem ik aan?</t>
    </r>
  </si>
  <si>
    <t>Michiel: Nee, die opmerking was voor mezelf. In RCMCost wel met een fixed interval rekenen voor de PM taak. Maar geen dormant falen instellen.</t>
  </si>
  <si>
    <t>Fixed:</t>
  </si>
  <si>
    <t>LCC periode</t>
  </si>
  <si>
    <t>IA:</t>
  </si>
  <si>
    <t>Fixed tijd tot falen (jaar)</t>
  </si>
  <si>
    <t>Offset:</t>
  </si>
  <si>
    <t>Interval PM taak</t>
  </si>
  <si>
    <t>p</t>
  </si>
  <si>
    <t>Aantal PM taken</t>
  </si>
  <si>
    <t>als interval &lt;= Fixed tijd tot falen</t>
  </si>
  <si>
    <t>Aantal CM taken</t>
  </si>
  <si>
    <t>als interval &gt; Fixed tijd tot falen</t>
  </si>
  <si>
    <t>Eerste jaar van falen</t>
  </si>
  <si>
    <t>-&gt; Let op, benadering. Voor nu hanteren.</t>
  </si>
  <si>
    <t>-&gt; later verfijnen. Nu onafhankelijk van PM-taak.</t>
  </si>
  <si>
    <t>SAO uitkomsten:</t>
  </si>
  <si>
    <t>LCC 5 jaar</t>
  </si>
  <si>
    <t>LCC 10 jaar</t>
  </si>
  <si>
    <t>LCC 50 jaar</t>
  </si>
  <si>
    <t>LLC 21 jaar</t>
  </si>
  <si>
    <t>Opmerkingen SAO in RCMCost:</t>
  </si>
  <si>
    <t xml:space="preserve">RCMCost versie: </t>
  </si>
  <si>
    <t>5.0.0.0</t>
  </si>
  <si>
    <t>&gt; 1 miljoen simulaties</t>
  </si>
  <si>
    <t xml:space="preserve">Random number seed: </t>
  </si>
  <si>
    <t>Compass Excel</t>
  </si>
  <si>
    <t>% Mendix tov. RCMCost</t>
  </si>
  <si>
    <t>GAO uitkomsten:</t>
  </si>
  <si>
    <t>Opmerkingen GAO in RCMCost:</t>
  </si>
  <si>
    <t>&gt; Fixed interval voor PM taak</t>
  </si>
  <si>
    <t>TAO uitkomsten:</t>
  </si>
  <si>
    <t>LCC 21 jaar</t>
  </si>
  <si>
    <t>Opmerkingen TAO in RCMCost:</t>
  </si>
  <si>
    <t>&gt; 100.000 simulaties</t>
  </si>
  <si>
    <t>&gt; Vinkje bij 'Apply inspection predictive data a time zero'</t>
  </si>
  <si>
    <t>&gt; PF-curve: STEP / PF-interval: 0,1 / Inspectie taakinterval: 0,099</t>
  </si>
  <si>
    <t>Taken over LCC:</t>
  </si>
  <si>
    <t>Compass CM Excel</t>
  </si>
  <si>
    <t>Compass PM Excel</t>
  </si>
  <si>
    <t>Compass CM Mendix</t>
  </si>
  <si>
    <t>Compass PM Mendix</t>
  </si>
  <si>
    <t>RCMCost CM</t>
  </si>
  <si>
    <t>RCMCost PM</t>
  </si>
  <si>
    <t>CM</t>
  </si>
  <si>
    <t>PM</t>
  </si>
  <si>
    <t>Voor Random model zijn de formules gelijk aan FT+</t>
  </si>
  <si>
    <t>Opmerkingen Random falen in FT+</t>
  </si>
  <si>
    <t>&gt; Rate-MTTR faalmodel voor merkbaar falen</t>
  </si>
  <si>
    <t>Input:</t>
  </si>
  <si>
    <t>MTTF [jr]</t>
  </si>
  <si>
    <t>&gt; Dormant faalmodel voor niet-merkbaar falen</t>
  </si>
  <si>
    <t>Dormant falen</t>
  </si>
  <si>
    <t>n</t>
  </si>
  <si>
    <t>Testinterval [jr]</t>
  </si>
  <si>
    <t>-</t>
  </si>
  <si>
    <t>Herstelduur [uur]</t>
  </si>
  <si>
    <t>FT+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</si>
</sst>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€&quot;\ #,##0"/>
    <numFmt numFmtId="165" formatCode="&quot;€&quot;\ #,##0.00"/>
    <numFmt numFmtId="166" formatCode="0.000"/>
    <numFmt numFmtId="167" formatCode="0.0000"/>
    <numFmt numFmtId="168" formatCode="0.00000"/>
    <numFmt numFmtId="169" formatCode="0.000%"/>
    <numFmt numFmtId="170" formatCode="0.000000"/>
    <numFmt numFmtId="171" formatCode="0.00000E+00"/>
    <numFmt numFmtId="172" formatCode="0.000000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Aptos Narrow"/>
      <family val="2"/>
    </font>
    <font>
      <i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55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3" fillId="0" borderId="0" xfId="0" applyFont="1"/>
    <xf numFmtId="0" fontId="4" fillId="0" borderId="0" xfId="0" applyFont="1"/>
    <xf numFmtId="11" fontId="5" fillId="0" borderId="4" xfId="0" applyNumberFormat="1" applyFont="1" applyBorder="1" applyAlignment="1">
      <alignment wrapText="1"/>
    </xf>
    <xf numFmtId="1" fontId="4" fillId="0" borderId="12" xfId="0" applyNumberFormat="1" applyFont="1" applyBorder="1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1" fontId="0" fillId="3" borderId="1" xfId="0" applyNumberFormat="1" applyFill="1" applyBorder="1"/>
    <xf numFmtId="1" fontId="0" fillId="4" borderId="1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/>
    <xf numFmtId="0" fontId="6" fillId="0" borderId="3" xfId="0" applyFont="1" applyBorder="1" applyAlignment="1">
      <alignment wrapText="1"/>
    </xf>
    <xf numFmtId="11" fontId="5" fillId="0" borderId="1" xfId="0" applyNumberFormat="1" applyFont="1" applyBorder="1" applyAlignment="1">
      <alignment wrapText="1"/>
    </xf>
    <xf numFmtId="0" fontId="4" fillId="0" borderId="10" xfId="0" applyFont="1" applyBorder="1"/>
    <xf numFmtId="0" fontId="4" fillId="0" borderId="11" xfId="0" applyFont="1" applyBorder="1"/>
    <xf numFmtId="9" fontId="4" fillId="0" borderId="11" xfId="1" applyFont="1" applyBorder="1"/>
    <xf numFmtId="164" fontId="4" fillId="0" borderId="11" xfId="0" applyNumberFormat="1" applyFont="1" applyBorder="1"/>
    <xf numFmtId="1" fontId="4" fillId="2" borderId="1" xfId="0" applyNumberFormat="1" applyFont="1" applyFill="1" applyBorder="1"/>
    <xf numFmtId="11" fontId="4" fillId="0" borderId="0" xfId="0" applyNumberFormat="1" applyFont="1"/>
    <xf numFmtId="164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/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4" fillId="0" borderId="5" xfId="0" applyNumberFormat="1" applyFont="1" applyBorder="1"/>
    <xf numFmtId="0" fontId="4" fillId="0" borderId="25" xfId="0" applyFont="1" applyBorder="1" applyAlignment="1">
      <alignment horizontal="center"/>
    </xf>
    <xf numFmtId="11" fontId="5" fillId="0" borderId="3" xfId="0" applyNumberFormat="1" applyFont="1" applyBorder="1" applyAlignment="1">
      <alignment wrapText="1"/>
    </xf>
    <xf numFmtId="1" fontId="4" fillId="0" borderId="11" xfId="0" applyNumberFormat="1" applyFont="1" applyBorder="1"/>
    <xf numFmtId="1" fontId="4" fillId="0" borderId="0" xfId="0" applyNumberFormat="1" applyFont="1"/>
    <xf numFmtId="164" fontId="4" fillId="0" borderId="27" xfId="0" applyNumberFormat="1" applyFont="1" applyBorder="1"/>
    <xf numFmtId="164" fontId="4" fillId="0" borderId="28" xfId="0" applyNumberFormat="1" applyFont="1" applyBorder="1"/>
    <xf numFmtId="164" fontId="4" fillId="0" borderId="29" xfId="0" applyNumberFormat="1" applyFont="1" applyBorder="1"/>
    <xf numFmtId="1" fontId="4" fillId="0" borderId="10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64" fontId="4" fillId="0" borderId="10" xfId="0" applyNumberFormat="1" applyFont="1" applyBorder="1"/>
    <xf numFmtId="164" fontId="4" fillId="0" borderId="12" xfId="0" applyNumberFormat="1" applyFont="1" applyBorder="1"/>
    <xf numFmtId="1" fontId="4" fillId="0" borderId="31" xfId="0" applyNumberFormat="1" applyFont="1" applyBorder="1" applyAlignment="1">
      <alignment horizontal="center"/>
    </xf>
    <xf numFmtId="1" fontId="4" fillId="0" borderId="32" xfId="0" applyNumberFormat="1" applyFont="1" applyBorder="1" applyAlignment="1">
      <alignment horizontal="center"/>
    </xf>
    <xf numFmtId="1" fontId="4" fillId="0" borderId="33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4" fillId="0" borderId="27" xfId="0" applyNumberFormat="1" applyFont="1" applyBorder="1" applyAlignment="1">
      <alignment horizontal="center"/>
    </xf>
    <xf numFmtId="166" fontId="4" fillId="0" borderId="28" xfId="0" applyNumberFormat="1" applyFont="1" applyBorder="1" applyAlignment="1">
      <alignment horizontal="center"/>
    </xf>
    <xf numFmtId="166" fontId="4" fillId="0" borderId="29" xfId="0" applyNumberFormat="1" applyFont="1" applyBorder="1" applyAlignment="1">
      <alignment horizontal="center"/>
    </xf>
    <xf numFmtId="166" fontId="4" fillId="0" borderId="10" xfId="0" applyNumberFormat="1" applyFont="1" applyBorder="1" applyAlignment="1">
      <alignment horizontal="center"/>
    </xf>
    <xf numFmtId="166" fontId="4" fillId="0" borderId="11" xfId="0" applyNumberFormat="1" applyFont="1" applyBorder="1" applyAlignment="1">
      <alignment horizontal="center"/>
    </xf>
    <xf numFmtId="166" fontId="4" fillId="0" borderId="12" xfId="0" applyNumberFormat="1" applyFont="1" applyBorder="1" applyAlignment="1">
      <alignment horizontal="center"/>
    </xf>
    <xf numFmtId="2" fontId="5" fillId="0" borderId="0" xfId="0" applyNumberFormat="1" applyFont="1"/>
    <xf numFmtId="164" fontId="4" fillId="7" borderId="2" xfId="0" applyNumberFormat="1" applyFont="1" applyFill="1" applyBorder="1"/>
    <xf numFmtId="164" fontId="4" fillId="7" borderId="3" xfId="0" applyNumberFormat="1" applyFont="1" applyFill="1" applyBorder="1"/>
    <xf numFmtId="164" fontId="4" fillId="7" borderId="4" xfId="0" applyNumberFormat="1" applyFont="1" applyFill="1" applyBorder="1"/>
    <xf numFmtId="164" fontId="4" fillId="7" borderId="27" xfId="0" applyNumberFormat="1" applyFont="1" applyFill="1" applyBorder="1"/>
    <xf numFmtId="164" fontId="4" fillId="7" borderId="28" xfId="0" applyNumberFormat="1" applyFont="1" applyFill="1" applyBorder="1"/>
    <xf numFmtId="164" fontId="4" fillId="7" borderId="29" xfId="0" applyNumberFormat="1" applyFont="1" applyFill="1" applyBorder="1"/>
    <xf numFmtId="166" fontId="4" fillId="7" borderId="2" xfId="0" applyNumberFormat="1" applyFont="1" applyFill="1" applyBorder="1" applyAlignment="1">
      <alignment horizontal="center"/>
    </xf>
    <xf numFmtId="166" fontId="4" fillId="7" borderId="3" xfId="0" applyNumberFormat="1" applyFont="1" applyFill="1" applyBorder="1" applyAlignment="1">
      <alignment horizontal="center"/>
    </xf>
    <xf numFmtId="166" fontId="4" fillId="7" borderId="4" xfId="0" applyNumberFormat="1" applyFont="1" applyFill="1" applyBorder="1" applyAlignment="1">
      <alignment horizontal="center"/>
    </xf>
    <xf numFmtId="166" fontId="4" fillId="7" borderId="5" xfId="0" applyNumberFormat="1" applyFont="1" applyFill="1" applyBorder="1" applyAlignment="1">
      <alignment horizontal="center"/>
    </xf>
    <xf numFmtId="166" fontId="4" fillId="7" borderId="1" xfId="0" applyNumberFormat="1" applyFont="1" applyFill="1" applyBorder="1" applyAlignment="1">
      <alignment horizontal="center"/>
    </xf>
    <xf numFmtId="166" fontId="4" fillId="7" borderId="6" xfId="0" applyNumberFormat="1" applyFont="1" applyFill="1" applyBorder="1" applyAlignment="1">
      <alignment horizontal="center"/>
    </xf>
    <xf numFmtId="166" fontId="4" fillId="7" borderId="15" xfId="0" applyNumberFormat="1" applyFont="1" applyFill="1" applyBorder="1" applyAlignment="1">
      <alignment horizontal="center"/>
    </xf>
    <xf numFmtId="166" fontId="4" fillId="7" borderId="16" xfId="0" applyNumberFormat="1" applyFont="1" applyFill="1" applyBorder="1" applyAlignment="1">
      <alignment horizontal="center"/>
    </xf>
    <xf numFmtId="166" fontId="4" fillId="7" borderId="17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right"/>
    </xf>
    <xf numFmtId="2" fontId="4" fillId="2" borderId="0" xfId="0" applyNumberFormat="1" applyFont="1" applyFill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8" borderId="1" xfId="0" applyFill="1" applyBorder="1" applyAlignment="1">
      <alignment horizontal="center"/>
    </xf>
    <xf numFmtId="166" fontId="0" fillId="8" borderId="3" xfId="0" applyNumberForma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5" borderId="1" xfId="0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8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0" fillId="0" borderId="20" xfId="0" applyBorder="1"/>
    <xf numFmtId="0" fontId="0" fillId="0" borderId="19" xfId="0" applyBorder="1"/>
    <xf numFmtId="0" fontId="0" fillId="0" borderId="18" xfId="0" applyBorder="1"/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66" fontId="0" fillId="8" borderId="2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6" fontId="0" fillId="8" borderId="4" xfId="0" applyNumberFormat="1" applyFill="1" applyBorder="1" applyAlignment="1">
      <alignment horizontal="center"/>
    </xf>
    <xf numFmtId="166" fontId="0" fillId="8" borderId="12" xfId="0" applyNumberFormat="1" applyFill="1" applyBorder="1" applyAlignment="1">
      <alignment horizontal="center"/>
    </xf>
    <xf numFmtId="0" fontId="6" fillId="9" borderId="3" xfId="0" applyFont="1" applyFill="1" applyBorder="1" applyAlignment="1">
      <alignment wrapText="1"/>
    </xf>
    <xf numFmtId="11" fontId="5" fillId="9" borderId="3" xfId="0" applyNumberFormat="1" applyFont="1" applyFill="1" applyBorder="1" applyAlignment="1">
      <alignment wrapText="1"/>
    </xf>
    <xf numFmtId="9" fontId="4" fillId="9" borderId="11" xfId="1" applyFont="1" applyFill="1" applyBorder="1"/>
    <xf numFmtId="164" fontId="4" fillId="9" borderId="11" xfId="0" applyNumberFormat="1" applyFont="1" applyFill="1" applyBorder="1"/>
    <xf numFmtId="166" fontId="4" fillId="0" borderId="5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8" fillId="0" borderId="0" xfId="0" applyFont="1"/>
    <xf numFmtId="2" fontId="0" fillId="2" borderId="0" xfId="0" applyNumberFormat="1" applyFill="1" applyAlignment="1">
      <alignment horizontal="center"/>
    </xf>
    <xf numFmtId="0" fontId="0" fillId="0" borderId="37" xfId="0" applyBorder="1"/>
    <xf numFmtId="0" fontId="1" fillId="0" borderId="3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8" borderId="39" xfId="0" applyFont="1" applyFill="1" applyBorder="1" applyAlignment="1">
      <alignment horizontal="center"/>
    </xf>
    <xf numFmtId="0" fontId="0" fillId="0" borderId="41" xfId="0" applyBorder="1"/>
    <xf numFmtId="0" fontId="9" fillId="0" borderId="19" xfId="0" applyFont="1" applyBorder="1"/>
    <xf numFmtId="0" fontId="11" fillId="0" borderId="0" xfId="0" quotePrefix="1" applyFont="1" applyAlignment="1">
      <alignment horizontal="center"/>
    </xf>
    <xf numFmtId="0" fontId="9" fillId="0" borderId="0" xfId="0" quotePrefix="1" applyFont="1"/>
    <xf numFmtId="0" fontId="12" fillId="0" borderId="0" xfId="0" quotePrefix="1" applyFont="1"/>
    <xf numFmtId="0" fontId="12" fillId="0" borderId="0" xfId="0" applyFont="1"/>
    <xf numFmtId="0" fontId="14" fillId="0" borderId="0" xfId="0" applyFont="1"/>
    <xf numFmtId="0" fontId="9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17" borderId="1" xfId="0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8" borderId="35" xfId="0" applyFont="1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167" fontId="0" fillId="8" borderId="36" xfId="0" applyNumberFormat="1" applyFill="1" applyBorder="1" applyAlignment="1">
      <alignment horizontal="center"/>
    </xf>
    <xf numFmtId="0" fontId="1" fillId="0" borderId="43" xfId="0" applyFont="1" applyBorder="1"/>
    <xf numFmtId="0" fontId="1" fillId="8" borderId="25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9" fillId="17" borderId="6" xfId="0" applyFont="1" applyFill="1" applyBorder="1" applyAlignment="1">
      <alignment horizontal="center"/>
    </xf>
    <xf numFmtId="0" fontId="9" fillId="0" borderId="45" xfId="0" applyFont="1" applyBorder="1"/>
    <xf numFmtId="0" fontId="0" fillId="8" borderId="46" xfId="0" applyFill="1" applyBorder="1" applyAlignment="1">
      <alignment horizontal="center"/>
    </xf>
    <xf numFmtId="0" fontId="0" fillId="0" borderId="47" xfId="0" quotePrefix="1" applyBorder="1" applyAlignment="1">
      <alignment horizontal="center"/>
    </xf>
    <xf numFmtId="0" fontId="0" fillId="8" borderId="48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8" borderId="47" xfId="0" applyFill="1" applyBorder="1" applyAlignment="1">
      <alignment horizontal="center"/>
    </xf>
    <xf numFmtId="0" fontId="0" fillId="8" borderId="49" xfId="0" applyFill="1" applyBorder="1" applyAlignment="1">
      <alignment horizontal="center"/>
    </xf>
    <xf numFmtId="0" fontId="9" fillId="17" borderId="11" xfId="0" applyFont="1" applyFill="1" applyBorder="1" applyAlignment="1">
      <alignment horizontal="center"/>
    </xf>
    <xf numFmtId="0" fontId="9" fillId="17" borderId="12" xfId="0" applyFont="1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11" borderId="39" xfId="0" applyFill="1" applyBorder="1" applyAlignment="1">
      <alignment horizontal="center"/>
    </xf>
    <xf numFmtId="0" fontId="0" fillId="12" borderId="39" xfId="0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14" borderId="39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15" borderId="39" xfId="0" applyFill="1" applyBorder="1" applyAlignment="1">
      <alignment horizontal="center"/>
    </xf>
    <xf numFmtId="0" fontId="10" fillId="16" borderId="39" xfId="0" applyFont="1" applyFill="1" applyBorder="1" applyAlignment="1">
      <alignment horizontal="center"/>
    </xf>
    <xf numFmtId="0" fontId="10" fillId="16" borderId="40" xfId="0" applyFont="1" applyFill="1" applyBorder="1" applyAlignment="1">
      <alignment horizontal="center"/>
    </xf>
    <xf numFmtId="0" fontId="0" fillId="10" borderId="50" xfId="0" applyFill="1" applyBorder="1" applyAlignment="1">
      <alignment horizontal="center"/>
    </xf>
    <xf numFmtId="0" fontId="0" fillId="10" borderId="51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52" xfId="0" applyFill="1" applyBorder="1" applyAlignment="1">
      <alignment horizontal="center"/>
    </xf>
    <xf numFmtId="167" fontId="0" fillId="10" borderId="51" xfId="0" applyNumberFormat="1" applyFill="1" applyBorder="1" applyAlignment="1">
      <alignment horizontal="center"/>
    </xf>
    <xf numFmtId="0" fontId="0" fillId="10" borderId="53" xfId="0" applyFill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4" borderId="40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9" fillId="17" borderId="5" xfId="0" applyFont="1" applyFill="1" applyBorder="1" applyAlignment="1">
      <alignment horizontal="center"/>
    </xf>
    <xf numFmtId="0" fontId="9" fillId="17" borderId="10" xfId="0" applyFont="1" applyFill="1" applyBorder="1" applyAlignment="1">
      <alignment horizontal="center"/>
    </xf>
    <xf numFmtId="0" fontId="9" fillId="10" borderId="24" xfId="0" applyFont="1" applyFill="1" applyBorder="1" applyAlignment="1">
      <alignment horizontal="center"/>
    </xf>
    <xf numFmtId="0" fontId="9" fillId="10" borderId="52" xfId="0" applyFont="1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166" fontId="0" fillId="8" borderId="15" xfId="0" applyNumberFormat="1" applyFill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66" fontId="0" fillId="8" borderId="17" xfId="0" applyNumberFormat="1" applyFill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8" borderId="16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7" fontId="0" fillId="8" borderId="16" xfId="0" applyNumberFormat="1" applyFill="1" applyBorder="1" applyAlignment="1">
      <alignment horizontal="center"/>
    </xf>
    <xf numFmtId="167" fontId="0" fillId="8" borderId="42" xfId="0" applyNumberFormat="1" applyFill="1" applyBorder="1" applyAlignment="1">
      <alignment horizontal="center"/>
    </xf>
    <xf numFmtId="167" fontId="0" fillId="10" borderId="0" xfId="0" applyNumberFormat="1" applyFill="1" applyAlignment="1">
      <alignment horizontal="center"/>
    </xf>
    <xf numFmtId="167" fontId="0" fillId="18" borderId="2" xfId="0" applyNumberFormat="1" applyFill="1" applyBorder="1" applyAlignment="1">
      <alignment horizontal="center"/>
    </xf>
    <xf numFmtId="167" fontId="0" fillId="18" borderId="3" xfId="0" applyNumberFormat="1" applyFill="1" applyBorder="1" applyAlignment="1">
      <alignment horizontal="center"/>
    </xf>
    <xf numFmtId="167" fontId="0" fillId="18" borderId="4" xfId="0" applyNumberFormat="1" applyFill="1" applyBorder="1" applyAlignment="1">
      <alignment horizontal="center"/>
    </xf>
    <xf numFmtId="167" fontId="0" fillId="18" borderId="15" xfId="0" applyNumberFormat="1" applyFill="1" applyBorder="1" applyAlignment="1">
      <alignment horizontal="center"/>
    </xf>
    <xf numFmtId="167" fontId="0" fillId="18" borderId="16" xfId="0" applyNumberFormat="1" applyFill="1" applyBorder="1" applyAlignment="1">
      <alignment horizontal="center"/>
    </xf>
    <xf numFmtId="167" fontId="0" fillId="18" borderId="17" xfId="0" applyNumberFormat="1" applyFill="1" applyBorder="1" applyAlignment="1">
      <alignment horizontal="center"/>
    </xf>
    <xf numFmtId="167" fontId="0" fillId="18" borderId="10" xfId="0" applyNumberFormat="1" applyFill="1" applyBorder="1" applyAlignment="1">
      <alignment horizontal="center"/>
    </xf>
    <xf numFmtId="167" fontId="0" fillId="18" borderId="11" xfId="0" applyNumberFormat="1" applyFill="1" applyBorder="1" applyAlignment="1">
      <alignment horizontal="center"/>
    </xf>
    <xf numFmtId="167" fontId="0" fillId="18" borderId="12" xfId="0" applyNumberFormat="1" applyFill="1" applyBorder="1" applyAlignment="1">
      <alignment horizontal="center"/>
    </xf>
    <xf numFmtId="167" fontId="0" fillId="10" borderId="52" xfId="0" applyNumberFormat="1" applyFill="1" applyBorder="1" applyAlignment="1">
      <alignment horizontal="center"/>
    </xf>
    <xf numFmtId="167" fontId="0" fillId="19" borderId="2" xfId="0" applyNumberFormat="1" applyFill="1" applyBorder="1" applyAlignment="1">
      <alignment horizontal="center"/>
    </xf>
    <xf numFmtId="167" fontId="0" fillId="19" borderId="3" xfId="0" applyNumberFormat="1" applyFill="1" applyBorder="1" applyAlignment="1">
      <alignment horizontal="center"/>
    </xf>
    <xf numFmtId="167" fontId="0" fillId="19" borderId="4" xfId="0" applyNumberFormat="1" applyFill="1" applyBorder="1" applyAlignment="1">
      <alignment horizontal="center"/>
    </xf>
    <xf numFmtId="167" fontId="0" fillId="10" borderId="53" xfId="0" applyNumberFormat="1" applyFill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7" fontId="0" fillId="3" borderId="11" xfId="0" applyNumberFormat="1" applyFill="1" applyBorder="1" applyAlignment="1">
      <alignment horizontal="center"/>
    </xf>
    <xf numFmtId="167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11" fontId="0" fillId="0" borderId="0" xfId="0" applyNumberFormat="1"/>
    <xf numFmtId="0" fontId="0" fillId="20" borderId="1" xfId="0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21" xfId="0" applyBorder="1" applyAlignment="1">
      <alignment horizontal="right"/>
    </xf>
    <xf numFmtId="0" fontId="0" fillId="0" borderId="0" xfId="0" quotePrefix="1"/>
    <xf numFmtId="0" fontId="1" fillId="0" borderId="1" xfId="0" applyFont="1" applyBorder="1" applyAlignment="1">
      <alignment horizontal="right"/>
    </xf>
    <xf numFmtId="168" fontId="0" fillId="0" borderId="54" xfId="0" applyNumberFormat="1" applyBorder="1" applyAlignment="1">
      <alignment horizontal="center"/>
    </xf>
    <xf numFmtId="168" fontId="0" fillId="0" borderId="28" xfId="0" applyNumberFormat="1" applyBorder="1" applyAlignment="1">
      <alignment horizontal="center"/>
    </xf>
    <xf numFmtId="169" fontId="0" fillId="0" borderId="0" xfId="1" applyNumberFormat="1" applyFont="1"/>
    <xf numFmtId="168" fontId="0" fillId="0" borderId="1" xfId="0" applyNumberFormat="1" applyBorder="1" applyAlignment="1">
      <alignment horizontal="center"/>
    </xf>
    <xf numFmtId="168" fontId="0" fillId="0" borderId="0" xfId="0" applyNumberFormat="1"/>
    <xf numFmtId="9" fontId="0" fillId="20" borderId="1" xfId="1" applyFont="1" applyFill="1" applyBorder="1" applyAlignment="1">
      <alignment horizontal="center"/>
    </xf>
    <xf numFmtId="168" fontId="0" fillId="21" borderId="1" xfId="0" applyNumberFormat="1" applyFill="1" applyBorder="1" applyAlignment="1">
      <alignment horizontal="center"/>
    </xf>
    <xf numFmtId="0" fontId="4" fillId="0" borderId="0" xfId="0" applyFont="1" applyAlignment="1">
      <alignment horizontal="left"/>
    </xf>
    <xf numFmtId="16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22" borderId="0" xfId="0" applyFont="1" applyFill="1"/>
    <xf numFmtId="164" fontId="4" fillId="22" borderId="0" xfId="0" applyNumberFormat="1" applyFont="1" applyFill="1"/>
    <xf numFmtId="0" fontId="0" fillId="22" borderId="0" xfId="0" applyFill="1"/>
    <xf numFmtId="0" fontId="4" fillId="0" borderId="5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0" fillId="0" borderId="53" xfId="0" applyBorder="1"/>
    <xf numFmtId="0" fontId="1" fillId="0" borderId="53" xfId="0" applyFont="1" applyBorder="1"/>
    <xf numFmtId="0" fontId="0" fillId="0" borderId="53" xfId="0" quotePrefix="1" applyBorder="1"/>
    <xf numFmtId="0" fontId="0" fillId="0" borderId="44" xfId="0" applyBorder="1"/>
    <xf numFmtId="0" fontId="0" fillId="0" borderId="42" xfId="0" applyBorder="1"/>
    <xf numFmtId="0" fontId="0" fillId="0" borderId="55" xfId="0" applyBorder="1"/>
    <xf numFmtId="0" fontId="0" fillId="0" borderId="49" xfId="0" applyBorder="1"/>
    <xf numFmtId="0" fontId="0" fillId="0" borderId="55" xfId="0" applyBorder="1" applyAlignment="1">
      <alignment horizontal="center"/>
    </xf>
    <xf numFmtId="0" fontId="0" fillId="0" borderId="5" xfId="0" applyBorder="1" applyAlignment="1">
      <alignment horizontal="left"/>
    </xf>
    <xf numFmtId="0" fontId="18" fillId="0" borderId="0" xfId="2"/>
    <xf numFmtId="0" fontId="19" fillId="0" borderId="0" xfId="0" applyFont="1"/>
    <xf numFmtId="0" fontId="4" fillId="0" borderId="45" xfId="0" applyFont="1" applyBorder="1" applyAlignment="1">
      <alignment horizontal="left"/>
    </xf>
    <xf numFmtId="0" fontId="0" fillId="0" borderId="45" xfId="0" applyBorder="1"/>
    <xf numFmtId="0" fontId="0" fillId="0" borderId="0" xfId="0" quotePrefix="1" applyAlignment="1">
      <alignment horizontal="center"/>
    </xf>
    <xf numFmtId="0" fontId="9" fillId="0" borderId="0" xfId="0" applyFont="1" applyAlignment="1">
      <alignment horizontal="left" indent="1"/>
    </xf>
    <xf numFmtId="0" fontId="0" fillId="17" borderId="2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5" xfId="0" applyBorder="1"/>
    <xf numFmtId="167" fontId="0" fillId="0" borderId="4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6" fontId="0" fillId="8" borderId="5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0" fillId="8" borderId="6" xfId="0" applyNumberFormat="1" applyFill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7" fontId="0" fillId="8" borderId="1" xfId="0" applyNumberFormat="1" applyFill="1" applyBorder="1" applyAlignment="1">
      <alignment horizontal="center"/>
    </xf>
    <xf numFmtId="167" fontId="0" fillId="8" borderId="26" xfId="0" applyNumberFormat="1" applyFill="1" applyBorder="1" applyAlignment="1">
      <alignment horizontal="center"/>
    </xf>
    <xf numFmtId="167" fontId="0" fillId="10" borderId="24" xfId="0" applyNumberFormat="1" applyFill="1" applyBorder="1" applyAlignment="1">
      <alignment horizontal="center"/>
    </xf>
    <xf numFmtId="0" fontId="0" fillId="2" borderId="19" xfId="0" applyFill="1" applyBorder="1"/>
    <xf numFmtId="167" fontId="0" fillId="2" borderId="5" xfId="0" applyNumberForma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7" fontId="0" fillId="2" borderId="6" xfId="0" applyNumberFormat="1" applyFill="1" applyBorder="1" applyAlignment="1">
      <alignment horizontal="center"/>
    </xf>
    <xf numFmtId="3" fontId="0" fillId="0" borderId="0" xfId="0" applyNumberFormat="1"/>
    <xf numFmtId="167" fontId="0" fillId="4" borderId="5" xfId="0" applyNumberFormat="1" applyFill="1" applyBorder="1" applyAlignment="1">
      <alignment horizontal="center"/>
    </xf>
    <xf numFmtId="167" fontId="0" fillId="4" borderId="1" xfId="0" applyNumberFormat="1" applyFill="1" applyBorder="1" applyAlignment="1">
      <alignment horizontal="center"/>
    </xf>
    <xf numFmtId="166" fontId="4" fillId="0" borderId="57" xfId="0" applyNumberFormat="1" applyFont="1" applyBorder="1" applyAlignment="1">
      <alignment horizontal="center"/>
    </xf>
    <xf numFmtId="164" fontId="4" fillId="7" borderId="57" xfId="0" applyNumberFormat="1" applyFont="1" applyFill="1" applyBorder="1"/>
    <xf numFmtId="164" fontId="4" fillId="7" borderId="61" xfId="0" applyNumberFormat="1" applyFont="1" applyFill="1" applyBorder="1"/>
    <xf numFmtId="164" fontId="4" fillId="0" borderId="61" xfId="0" applyNumberFormat="1" applyFont="1" applyBorder="1"/>
    <xf numFmtId="164" fontId="4" fillId="0" borderId="58" xfId="0" applyNumberFormat="1" applyFont="1" applyBorder="1"/>
    <xf numFmtId="164" fontId="4" fillId="0" borderId="60" xfId="0" applyNumberFormat="1" applyFont="1" applyBorder="1"/>
    <xf numFmtId="166" fontId="4" fillId="7" borderId="57" xfId="0" applyNumberFormat="1" applyFont="1" applyFill="1" applyBorder="1" applyAlignment="1">
      <alignment horizontal="center"/>
    </xf>
    <xf numFmtId="166" fontId="4" fillId="7" borderId="58" xfId="0" applyNumberFormat="1" applyFont="1" applyFill="1" applyBorder="1" applyAlignment="1">
      <alignment horizontal="center"/>
    </xf>
    <xf numFmtId="166" fontId="4" fillId="7" borderId="8" xfId="0" applyNumberFormat="1" applyFont="1" applyFill="1" applyBorder="1" applyAlignment="1">
      <alignment horizontal="center"/>
    </xf>
    <xf numFmtId="166" fontId="4" fillId="0" borderId="58" xfId="0" applyNumberFormat="1" applyFont="1" applyBorder="1" applyAlignment="1">
      <alignment horizontal="center"/>
    </xf>
    <xf numFmtId="166" fontId="4" fillId="0" borderId="60" xfId="0" applyNumberFormat="1" applyFont="1" applyBorder="1" applyAlignment="1">
      <alignment horizontal="center"/>
    </xf>
    <xf numFmtId="0" fontId="0" fillId="15" borderId="1" xfId="0" applyFill="1" applyBorder="1"/>
    <xf numFmtId="166" fontId="4" fillId="15" borderId="57" xfId="0" applyNumberFormat="1" applyFont="1" applyFill="1" applyBorder="1" applyAlignment="1">
      <alignment horizontal="center"/>
    </xf>
    <xf numFmtId="0" fontId="0" fillId="20" borderId="1" xfId="0" applyFill="1" applyBorder="1"/>
    <xf numFmtId="166" fontId="4" fillId="20" borderId="61" xfId="0" applyNumberFormat="1" applyFont="1" applyFill="1" applyBorder="1" applyAlignment="1">
      <alignment horizontal="center"/>
    </xf>
    <xf numFmtId="0" fontId="0" fillId="24" borderId="1" xfId="0" applyFill="1" applyBorder="1"/>
    <xf numFmtId="166" fontId="4" fillId="24" borderId="61" xfId="0" applyNumberFormat="1" applyFont="1" applyFill="1" applyBorder="1" applyAlignment="1">
      <alignment horizontal="center"/>
    </xf>
    <xf numFmtId="1" fontId="0" fillId="23" borderId="1" xfId="0" applyNumberFormat="1" applyFill="1" applyBorder="1"/>
    <xf numFmtId="0" fontId="4" fillId="25" borderId="57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1" fontId="0" fillId="20" borderId="6" xfId="0" applyNumberFormat="1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0" borderId="41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right"/>
    </xf>
    <xf numFmtId="168" fontId="0" fillId="0" borderId="62" xfId="0" applyNumberFormat="1" applyBorder="1" applyAlignment="1">
      <alignment horizontal="center"/>
    </xf>
    <xf numFmtId="168" fontId="0" fillId="0" borderId="29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0" fontId="4" fillId="0" borderId="5" xfId="0" applyFont="1" applyBorder="1" applyAlignment="1">
      <alignment horizontal="right"/>
    </xf>
    <xf numFmtId="168" fontId="4" fillId="0" borderId="6" xfId="0" applyNumberFormat="1" applyFont="1" applyBorder="1" applyAlignment="1">
      <alignment horizontal="center"/>
    </xf>
    <xf numFmtId="168" fontId="0" fillId="0" borderId="42" xfId="0" applyNumberFormat="1" applyBorder="1"/>
    <xf numFmtId="0" fontId="1" fillId="0" borderId="41" xfId="0" applyFont="1" applyBorder="1"/>
    <xf numFmtId="0" fontId="0" fillId="0" borderId="12" xfId="0" applyBorder="1" applyAlignment="1">
      <alignment horizontal="center"/>
    </xf>
    <xf numFmtId="0" fontId="0" fillId="22" borderId="0" xfId="0" quotePrefix="1" applyFill="1"/>
    <xf numFmtId="2" fontId="4" fillId="22" borderId="0" xfId="0" applyNumberFormat="1" applyFont="1" applyFill="1"/>
    <xf numFmtId="168" fontId="4" fillId="0" borderId="0" xfId="0" applyNumberFormat="1" applyFont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0" fontId="4" fillId="0" borderId="27" xfId="0" applyFont="1" applyBorder="1" applyAlignment="1">
      <alignment horizontal="right"/>
    </xf>
    <xf numFmtId="2" fontId="4" fillId="0" borderId="29" xfId="0" applyNumberFormat="1" applyFont="1" applyBorder="1" applyAlignment="1">
      <alignment horizontal="center"/>
    </xf>
    <xf numFmtId="167" fontId="4" fillId="0" borderId="12" xfId="0" applyNumberFormat="1" applyFon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0" fillId="0" borderId="31" xfId="0" applyBorder="1" applyAlignment="1">
      <alignment horizontal="right"/>
    </xf>
    <xf numFmtId="0" fontId="0" fillId="0" borderId="1" xfId="0" applyBorder="1" applyAlignment="1">
      <alignment horizontal="right" wrapText="1"/>
    </xf>
    <xf numFmtId="1" fontId="0" fillId="5" borderId="1" xfId="1" applyNumberFormat="1" applyFont="1" applyFill="1" applyBorder="1" applyAlignment="1">
      <alignment horizontal="center"/>
    </xf>
    <xf numFmtId="167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0" fillId="0" borderId="24" xfId="0" applyBorder="1"/>
    <xf numFmtId="0" fontId="0" fillId="0" borderId="63" xfId="0" applyBorder="1"/>
    <xf numFmtId="0" fontId="17" fillId="0" borderId="7" xfId="0" applyFont="1" applyBorder="1"/>
    <xf numFmtId="170" fontId="0" fillId="0" borderId="58" xfId="0" applyNumberFormat="1" applyBorder="1" applyAlignment="1">
      <alignment horizontal="center"/>
    </xf>
    <xf numFmtId="11" fontId="0" fillId="0" borderId="60" xfId="0" applyNumberForma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0" fontId="17" fillId="0" borderId="57" xfId="0" applyFont="1" applyBorder="1"/>
    <xf numFmtId="0" fontId="1" fillId="26" borderId="0" xfId="0" applyFont="1" applyFill="1"/>
    <xf numFmtId="0" fontId="0" fillId="11" borderId="40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11" borderId="56" xfId="0" applyFill="1" applyBorder="1" applyAlignment="1">
      <alignment horizontal="center"/>
    </xf>
    <xf numFmtId="0" fontId="4" fillId="4" borderId="39" xfId="0" applyFont="1" applyFill="1" applyBorder="1" applyAlignment="1">
      <alignment horizontal="center"/>
    </xf>
    <xf numFmtId="0" fontId="4" fillId="4" borderId="40" xfId="0" applyFont="1" applyFill="1" applyBorder="1" applyAlignment="1">
      <alignment horizontal="center"/>
    </xf>
    <xf numFmtId="0" fontId="0" fillId="27" borderId="38" xfId="0" applyFill="1" applyBorder="1" applyAlignment="1">
      <alignment horizontal="center"/>
    </xf>
    <xf numFmtId="0" fontId="0" fillId="27" borderId="39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7" borderId="40" xfId="0" applyFill="1" applyBorder="1" applyAlignment="1">
      <alignment horizontal="center"/>
    </xf>
    <xf numFmtId="0" fontId="0" fillId="26" borderId="0" xfId="0" applyFill="1"/>
    <xf numFmtId="0" fontId="0" fillId="0" borderId="7" xfId="0" applyBorder="1"/>
    <xf numFmtId="0" fontId="0" fillId="17" borderId="58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7" borderId="0" xfId="0" applyFill="1"/>
    <xf numFmtId="0" fontId="0" fillId="24" borderId="0" xfId="0" quotePrefix="1" applyFill="1"/>
    <xf numFmtId="0" fontId="0" fillId="24" borderId="0" xfId="0" applyFill="1"/>
    <xf numFmtId="0" fontId="4" fillId="4" borderId="65" xfId="0" applyFont="1" applyFill="1" applyBorder="1" applyAlignment="1">
      <alignment horizontal="center"/>
    </xf>
    <xf numFmtId="0" fontId="0" fillId="17" borderId="63" xfId="0" applyFill="1" applyBorder="1" applyAlignment="1">
      <alignment horizontal="center"/>
    </xf>
    <xf numFmtId="0" fontId="0" fillId="29" borderId="64" xfId="0" applyFill="1" applyBorder="1" applyAlignment="1">
      <alignment horizontal="center"/>
    </xf>
    <xf numFmtId="166" fontId="0" fillId="18" borderId="2" xfId="0" applyNumberFormat="1" applyFill="1" applyBorder="1" applyAlignment="1">
      <alignment horizontal="center"/>
    </xf>
    <xf numFmtId="166" fontId="0" fillId="18" borderId="3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18" borderId="4" xfId="0" applyNumberFormat="1" applyFill="1" applyBorder="1" applyAlignment="1">
      <alignment horizontal="center"/>
    </xf>
    <xf numFmtId="166" fontId="0" fillId="18" borderId="66" xfId="0" applyNumberFormat="1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57" xfId="0" applyNumberFormat="1" applyBorder="1" applyAlignment="1">
      <alignment horizontal="center"/>
    </xf>
    <xf numFmtId="166" fontId="0" fillId="18" borderId="10" xfId="0" applyNumberFormat="1" applyFill="1" applyBorder="1" applyAlignment="1">
      <alignment horizontal="center"/>
    </xf>
    <xf numFmtId="166" fontId="0" fillId="18" borderId="11" xfId="0" applyNumberFormat="1" applyFill="1" applyBorder="1" applyAlignment="1">
      <alignment horizontal="center"/>
    </xf>
    <xf numFmtId="166" fontId="0" fillId="3" borderId="11" xfId="0" applyNumberFormat="1" applyFill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18" borderId="12" xfId="0" applyNumberFormat="1" applyFill="1" applyBorder="1" applyAlignment="1">
      <alignment horizontal="center"/>
    </xf>
    <xf numFmtId="166" fontId="0" fillId="18" borderId="67" xfId="0" applyNumberFormat="1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60" xfId="0" applyNumberFormat="1" applyBorder="1" applyAlignment="1">
      <alignment horizontal="center"/>
    </xf>
    <xf numFmtId="0" fontId="4" fillId="28" borderId="0" xfId="0" applyFont="1" applyFill="1"/>
    <xf numFmtId="0" fontId="0" fillId="28" borderId="0" xfId="0" applyFill="1"/>
    <xf numFmtId="0" fontId="4" fillId="28" borderId="0" xfId="0" quotePrefix="1" applyFont="1" applyFill="1"/>
    <xf numFmtId="0" fontId="0" fillId="17" borderId="10" xfId="0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167" fontId="4" fillId="0" borderId="33" xfId="0" applyNumberFormat="1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27" borderId="4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17" borderId="67" xfId="0" applyFill="1" applyBorder="1" applyAlignment="1">
      <alignment horizontal="center"/>
    </xf>
    <xf numFmtId="0" fontId="0" fillId="27" borderId="66" xfId="0" applyFill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63" xfId="0" applyNumberFormat="1" applyBorder="1" applyAlignment="1">
      <alignment horizontal="center"/>
    </xf>
    <xf numFmtId="166" fontId="0" fillId="0" borderId="58" xfId="0" applyNumberFormat="1" applyBorder="1" applyAlignment="1">
      <alignment horizontal="center"/>
    </xf>
    <xf numFmtId="0" fontId="0" fillId="8" borderId="37" xfId="0" applyFill="1" applyBorder="1"/>
    <xf numFmtId="0" fontId="0" fillId="8" borderId="19" xfId="0" applyFill="1" applyBorder="1"/>
    <xf numFmtId="166" fontId="0" fillId="0" borderId="27" xfId="0" applyNumberFormat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0" borderId="68" xfId="0" applyNumberFormat="1" applyBorder="1" applyAlignment="1">
      <alignment horizontal="center"/>
    </xf>
    <xf numFmtId="166" fontId="0" fillId="8" borderId="63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67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27" xfId="0" applyBorder="1" applyAlignment="1">
      <alignment horizontal="right"/>
    </xf>
    <xf numFmtId="1" fontId="0" fillId="20" borderId="29" xfId="0" applyNumberFormat="1" applyFill="1" applyBorder="1" applyAlignment="1">
      <alignment horizontal="center"/>
    </xf>
    <xf numFmtId="0" fontId="1" fillId="0" borderId="0" xfId="0" applyFont="1" applyAlignment="1">
      <alignment wrapText="1"/>
    </xf>
    <xf numFmtId="166" fontId="4" fillId="0" borderId="9" xfId="0" applyNumberFormat="1" applyFont="1" applyBorder="1" applyAlignment="1">
      <alignment horizontal="center"/>
    </xf>
    <xf numFmtId="0" fontId="4" fillId="0" borderId="41" xfId="0" applyFont="1" applyBorder="1"/>
    <xf numFmtId="166" fontId="4" fillId="0" borderId="41" xfId="0" applyNumberFormat="1" applyFont="1" applyBorder="1" applyAlignment="1">
      <alignment horizontal="center"/>
    </xf>
    <xf numFmtId="0" fontId="0" fillId="0" borderId="69" xfId="0" applyBorder="1"/>
    <xf numFmtId="167" fontId="4" fillId="0" borderId="57" xfId="0" applyNumberFormat="1" applyFont="1" applyBorder="1" applyAlignment="1">
      <alignment horizontal="center"/>
    </xf>
    <xf numFmtId="167" fontId="4" fillId="0" borderId="64" xfId="0" applyNumberFormat="1" applyFont="1" applyBorder="1" applyAlignment="1">
      <alignment horizontal="center"/>
    </xf>
    <xf numFmtId="166" fontId="0" fillId="18" borderId="5" xfId="0" applyNumberFormat="1" applyFill="1" applyBorder="1" applyAlignment="1">
      <alignment horizontal="center"/>
    </xf>
    <xf numFmtId="166" fontId="0" fillId="18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18" borderId="6" xfId="0" applyNumberFormat="1" applyFill="1" applyBorder="1" applyAlignment="1">
      <alignment horizontal="center"/>
    </xf>
    <xf numFmtId="166" fontId="0" fillId="18" borderId="46" xfId="0" applyNumberFormat="1" applyFill="1" applyBorder="1" applyAlignment="1">
      <alignment horizontal="center"/>
    </xf>
    <xf numFmtId="166" fontId="0" fillId="18" borderId="47" xfId="0" applyNumberFormat="1" applyFill="1" applyBorder="1" applyAlignment="1">
      <alignment horizontal="center"/>
    </xf>
    <xf numFmtId="166" fontId="0" fillId="18" borderId="48" xfId="0" applyNumberFormat="1" applyFill="1" applyBorder="1" applyAlignment="1">
      <alignment horizontal="center"/>
    </xf>
    <xf numFmtId="0" fontId="0" fillId="29" borderId="34" xfId="0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0" fontId="0" fillId="17" borderId="19" xfId="0" applyFill="1" applyBorder="1" applyAlignment="1">
      <alignment horizontal="center"/>
    </xf>
    <xf numFmtId="0" fontId="0" fillId="17" borderId="18" xfId="0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45" xfId="0" applyNumberFormat="1" applyBorder="1" applyAlignment="1">
      <alignment horizontal="center"/>
    </xf>
    <xf numFmtId="0" fontId="0" fillId="29" borderId="40" xfId="0" applyFill="1" applyBorder="1" applyAlignment="1">
      <alignment horizontal="center"/>
    </xf>
    <xf numFmtId="166" fontId="0" fillId="0" borderId="48" xfId="0" applyNumberFormat="1" applyBorder="1" applyAlignment="1">
      <alignment horizontal="center"/>
    </xf>
    <xf numFmtId="0" fontId="4" fillId="0" borderId="0" xfId="0" quotePrefix="1" applyFont="1" applyAlignment="1">
      <alignment horizontal="left" indent="1"/>
    </xf>
    <xf numFmtId="171" fontId="0" fillId="0" borderId="58" xfId="0" applyNumberFormat="1" applyBorder="1" applyAlignment="1">
      <alignment horizontal="center"/>
    </xf>
    <xf numFmtId="171" fontId="0" fillId="0" borderId="60" xfId="0" applyNumberFormat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170" fontId="0" fillId="2" borderId="58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17" borderId="5" xfId="0" quotePrefix="1" applyFill="1" applyBorder="1" applyAlignment="1">
      <alignment horizontal="center"/>
    </xf>
    <xf numFmtId="0" fontId="0" fillId="17" borderId="1" xfId="0" quotePrefix="1" applyFill="1" applyBorder="1" applyAlignment="1">
      <alignment horizontal="center"/>
    </xf>
    <xf numFmtId="0" fontId="0" fillId="11" borderId="65" xfId="0" applyFill="1" applyBorder="1" applyAlignment="1">
      <alignment horizontal="center"/>
    </xf>
    <xf numFmtId="0" fontId="0" fillId="17" borderId="63" xfId="0" quotePrefix="1" applyFill="1" applyBorder="1" applyAlignment="1">
      <alignment horizontal="center"/>
    </xf>
    <xf numFmtId="0" fontId="0" fillId="17" borderId="19" xfId="0" quotePrefix="1" applyFill="1" applyBorder="1" applyAlignment="1">
      <alignment horizontal="center"/>
    </xf>
    <xf numFmtId="166" fontId="0" fillId="0" borderId="55" xfId="0" applyNumberFormat="1" applyBorder="1" applyAlignment="1">
      <alignment horizontal="center"/>
    </xf>
    <xf numFmtId="168" fontId="4" fillId="0" borderId="55" xfId="0" applyNumberFormat="1" applyFon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17" borderId="15" xfId="0" applyFill="1" applyBorder="1" applyAlignment="1">
      <alignment horizontal="center"/>
    </xf>
    <xf numFmtId="0" fontId="0" fillId="17" borderId="16" xfId="0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0" fontId="0" fillId="17" borderId="69" xfId="0" applyFill="1" applyBorder="1" applyAlignment="1">
      <alignment horizontal="center"/>
    </xf>
    <xf numFmtId="0" fontId="0" fillId="17" borderId="41" xfId="0" applyFill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1" fontId="0" fillId="0" borderId="66" xfId="0" applyNumberForma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63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11" fontId="0" fillId="0" borderId="11" xfId="0" applyNumberFormat="1" applyBorder="1" applyAlignment="1">
      <alignment horizontal="center"/>
    </xf>
    <xf numFmtId="11" fontId="0" fillId="0" borderId="12" xfId="0" applyNumberFormat="1" applyBorder="1" applyAlignment="1">
      <alignment horizontal="center"/>
    </xf>
    <xf numFmtId="11" fontId="0" fillId="0" borderId="67" xfId="0" applyNumberFormat="1" applyBorder="1" applyAlignment="1">
      <alignment horizontal="center"/>
    </xf>
    <xf numFmtId="10" fontId="0" fillId="0" borderId="0" xfId="1" applyNumberFormat="1" applyFont="1"/>
    <xf numFmtId="0" fontId="0" fillId="0" borderId="64" xfId="0" applyBorder="1"/>
    <xf numFmtId="10" fontId="0" fillId="0" borderId="65" xfId="1" applyNumberFormat="1" applyFont="1" applyBorder="1" applyAlignment="1">
      <alignment horizontal="center"/>
    </xf>
    <xf numFmtId="10" fontId="0" fillId="0" borderId="39" xfId="1" applyNumberFormat="1" applyFont="1" applyBorder="1" applyAlignment="1">
      <alignment horizontal="center"/>
    </xf>
    <xf numFmtId="10" fontId="0" fillId="0" borderId="40" xfId="1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right" indent="1"/>
    </xf>
    <xf numFmtId="10" fontId="0" fillId="0" borderId="3" xfId="1" applyNumberFormat="1" applyFon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0" fontId="0" fillId="0" borderId="12" xfId="1" applyNumberFormat="1" applyFont="1" applyBorder="1" applyAlignment="1">
      <alignment horizontal="center"/>
    </xf>
    <xf numFmtId="10" fontId="0" fillId="3" borderId="39" xfId="1" applyNumberFormat="1" applyFont="1" applyFill="1" applyBorder="1" applyAlignment="1">
      <alignment horizontal="center"/>
    </xf>
    <xf numFmtId="166" fontId="0" fillId="3" borderId="27" xfId="0" applyNumberFormat="1" applyFill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0" fillId="3" borderId="10" xfId="0" applyNumberFormat="1" applyFill="1" applyBorder="1" applyAlignment="1">
      <alignment horizontal="center"/>
    </xf>
    <xf numFmtId="10" fontId="0" fillId="3" borderId="66" xfId="1" applyNumberFormat="1" applyFont="1" applyFill="1" applyBorder="1" applyAlignment="1">
      <alignment horizontal="center"/>
    </xf>
    <xf numFmtId="10" fontId="0" fillId="3" borderId="67" xfId="1" applyNumberFormat="1" applyFont="1" applyFill="1" applyBorder="1" applyAlignment="1">
      <alignment horizontal="center"/>
    </xf>
    <xf numFmtId="0" fontId="0" fillId="8" borderId="70" xfId="0" applyFill="1" applyBorder="1"/>
    <xf numFmtId="0" fontId="0" fillId="8" borderId="71" xfId="0" applyFill="1" applyBorder="1"/>
    <xf numFmtId="0" fontId="0" fillId="8" borderId="71" xfId="0" applyFill="1" applyBorder="1" applyAlignment="1">
      <alignment horizontal="right"/>
    </xf>
    <xf numFmtId="0" fontId="0" fillId="8" borderId="72" xfId="0" applyFill="1" applyBorder="1" applyAlignment="1">
      <alignment horizontal="center"/>
    </xf>
    <xf numFmtId="0" fontId="0" fillId="8" borderId="73" xfId="0" applyFill="1" applyBorder="1"/>
    <xf numFmtId="0" fontId="0" fillId="8" borderId="74" xfId="0" applyFill="1" applyBorder="1"/>
    <xf numFmtId="0" fontId="0" fillId="8" borderId="74" xfId="0" applyFill="1" applyBorder="1" applyAlignment="1">
      <alignment horizontal="right"/>
    </xf>
    <xf numFmtId="0" fontId="0" fillId="8" borderId="68" xfId="0" applyFill="1" applyBorder="1" applyAlignment="1">
      <alignment horizontal="center"/>
    </xf>
    <xf numFmtId="10" fontId="0" fillId="0" borderId="3" xfId="1" applyNumberFormat="1" applyFont="1" applyFill="1" applyBorder="1" applyAlignment="1">
      <alignment horizontal="center"/>
    </xf>
    <xf numFmtId="10" fontId="0" fillId="0" borderId="11" xfId="1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172" fontId="0" fillId="0" borderId="0" xfId="0" applyNumberFormat="1"/>
    <xf numFmtId="2" fontId="4" fillId="0" borderId="1" xfId="0" applyNumberFormat="1" applyFont="1" applyBorder="1" applyAlignment="1">
      <alignment horizontal="center"/>
    </xf>
    <xf numFmtId="2" fontId="4" fillId="0" borderId="58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3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2" borderId="0" xfId="0" applyFill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4" fillId="0" borderId="58" xfId="0" applyNumberFormat="1" applyFont="1" applyBorder="1" applyAlignment="1">
      <alignment horizontal="center"/>
    </xf>
    <xf numFmtId="2" fontId="4" fillId="0" borderId="59" xfId="0" applyNumberFormat="1" applyFont="1" applyBorder="1" applyAlignment="1">
      <alignment horizontal="center"/>
    </xf>
    <xf numFmtId="2" fontId="4" fillId="0" borderId="60" xfId="0" applyNumberFormat="1" applyFont="1" applyBorder="1" applyAlignment="1">
      <alignment horizontal="center"/>
    </xf>
    <xf numFmtId="11" fontId="5" fillId="0" borderId="2" xfId="0" applyNumberFormat="1" applyFont="1" applyBorder="1" applyAlignment="1">
      <alignment wrapText="1"/>
    </xf>
    <xf numFmtId="1" fontId="4" fillId="2" borderId="10" xfId="0" applyNumberFormat="1" applyFont="1" applyFill="1" applyBorder="1"/>
    <xf numFmtId="1" fontId="4" fillId="2" borderId="11" xfId="0" applyNumberFormat="1" applyFont="1" applyFill="1" applyBorder="1"/>
    <xf numFmtId="2" fontId="0" fillId="0" borderId="0" xfId="0" applyNumberFormat="1" applyAlignment="1">
      <alignment horizontal="center"/>
    </xf>
    <xf numFmtId="2" fontId="4" fillId="2" borderId="12" xfId="0" applyNumberFormat="1" applyFont="1" applyFill="1" applyBorder="1"/>
    <xf numFmtId="164" fontId="1" fillId="0" borderId="7" xfId="0" applyNumberFormat="1" applyFont="1" applyBorder="1" applyAlignment="1">
      <alignment horizontal="center" vertical="center" textRotation="90"/>
    </xf>
    <xf numFmtId="164" fontId="1" fillId="0" borderId="8" xfId="0" applyNumberFormat="1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9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center" vertical="center" textRotation="90"/>
    </xf>
    <xf numFmtId="0" fontId="4" fillId="7" borderId="2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left"/>
    </xf>
    <xf numFmtId="0" fontId="4" fillId="7" borderId="19" xfId="0" applyFont="1" applyFill="1" applyBorder="1" applyAlignment="1">
      <alignment horizontal="left" wrapText="1"/>
    </xf>
    <xf numFmtId="0" fontId="4" fillId="7" borderId="24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7" borderId="19" xfId="0" applyFont="1" applyFill="1" applyBorder="1" applyAlignment="1">
      <alignment horizontal="left"/>
    </xf>
    <xf numFmtId="0" fontId="4" fillId="7" borderId="24" xfId="0" applyFont="1" applyFill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52" xfId="0" applyFont="1" applyBorder="1" applyAlignment="1">
      <alignment horizontal="left"/>
    </xf>
    <xf numFmtId="0" fontId="1" fillId="0" borderId="34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2" fontId="4" fillId="25" borderId="20" xfId="0" applyNumberFormat="1" applyFont="1" applyFill="1" applyBorder="1" applyAlignment="1">
      <alignment horizontal="left"/>
    </xf>
    <xf numFmtId="2" fontId="4" fillId="25" borderId="51" xfId="0" applyNumberFormat="1" applyFont="1" applyFill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7" borderId="26" xfId="0" applyFont="1" applyFill="1" applyBorder="1" applyAlignment="1">
      <alignment horizontal="left" wrapText="1"/>
    </xf>
    <xf numFmtId="164" fontId="4" fillId="0" borderId="34" xfId="0" applyNumberFormat="1" applyFont="1" applyBorder="1" applyAlignment="1">
      <alignment horizontal="left"/>
    </xf>
    <xf numFmtId="164" fontId="4" fillId="0" borderId="35" xfId="0" applyNumberFormat="1" applyFont="1" applyBorder="1" applyAlignment="1">
      <alignment horizontal="left"/>
    </xf>
    <xf numFmtId="2" fontId="4" fillId="0" borderId="20" xfId="0" applyNumberFormat="1" applyFont="1" applyBorder="1" applyAlignment="1">
      <alignment horizontal="left"/>
    </xf>
    <xf numFmtId="2" fontId="4" fillId="0" borderId="36" xfId="0" applyNumberFormat="1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26" xfId="0" applyFont="1" applyBorder="1" applyAlignment="1">
      <alignment horizontal="left" wrapText="1"/>
    </xf>
    <xf numFmtId="0" fontId="4" fillId="7" borderId="26" xfId="0" applyFont="1" applyFill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Hyperlink" xfId="2" builtinId="8"/>
    <cellStyle name="Procent" xfId="1" builtinId="5"/>
    <cellStyle name="Standaard" xfId="0" builtinId="0"/>
  </cellStyles>
  <dxfs count="0"/>
  <tableStyles count="0" defaultTableStyle="TableStyleMedium2" defaultPivotStyle="PivotStyleLight16"/>
  <colors>
    <mruColors>
      <color rgb="FFF065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tmp"/><Relationship Id="rId1" Type="http://schemas.openxmlformats.org/officeDocument/2006/relationships/image" Target="../media/image3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39</xdr:row>
      <xdr:rowOff>50799</xdr:rowOff>
    </xdr:from>
    <xdr:to>
      <xdr:col>7</xdr:col>
      <xdr:colOff>484998</xdr:colOff>
      <xdr:row>47</xdr:row>
      <xdr:rowOff>22224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8406D4B9-C442-FDD2-CD3C-48CEC72B1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423024"/>
          <a:ext cx="5250673" cy="141922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49</xdr:row>
      <xdr:rowOff>142875</xdr:rowOff>
    </xdr:from>
    <xdr:to>
      <xdr:col>3</xdr:col>
      <xdr:colOff>191907</xdr:colOff>
      <xdr:row>54</xdr:row>
      <xdr:rowOff>73025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9710991F-4321-DE2D-3073-5C22B0EB6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950" y="8324850"/>
          <a:ext cx="2662057" cy="835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36</xdr:row>
      <xdr:rowOff>47625</xdr:rowOff>
    </xdr:from>
    <xdr:to>
      <xdr:col>4</xdr:col>
      <xdr:colOff>539765</xdr:colOff>
      <xdr:row>43</xdr:row>
      <xdr:rowOff>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AAE4FDBE-2A77-B0FA-5654-354DA3F40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5514975"/>
          <a:ext cx="3902090" cy="1216025"/>
        </a:xfrm>
        <a:prstGeom prst="rect">
          <a:avLst/>
        </a:prstGeom>
      </xdr:spPr>
    </xdr:pic>
    <xdr:clientData/>
  </xdr:twoCellAnchor>
  <xdr:twoCellAnchor editAs="oneCell">
    <xdr:from>
      <xdr:col>8</xdr:col>
      <xdr:colOff>111125</xdr:colOff>
      <xdr:row>24</xdr:row>
      <xdr:rowOff>66675</xdr:rowOff>
    </xdr:from>
    <xdr:to>
      <xdr:col>14</xdr:col>
      <xdr:colOff>180573</xdr:colOff>
      <xdr:row>29</xdr:row>
      <xdr:rowOff>63500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19B7B387-07F5-6A69-AD40-865846DD02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61" r="13582" b="29464"/>
        <a:stretch/>
      </xdr:blipFill>
      <xdr:spPr>
        <a:xfrm>
          <a:off x="7664450" y="4257675"/>
          <a:ext cx="3730223" cy="914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chiel Oussoren" id="{63954BFF-880D-4549-994F-5CA22E2AE64D}" userId="S::m.oussoren@delta-pi.nl::115f5cc1-c759-485c-b6b4-6750dc5b695d" providerId="AD"/>
</personList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3" dT="2025-08-02T18:01:43.14" personId="{63954BFF-880D-4549-994F-5CA22E2AE64D}" id="{030923CB-8776-47FB-BB87-5885EBC464BA}">
    <text>Is hier “aantal jaren tot eerste vervanging”</text>
  </threadedComment>
  <threadedComment ref="V3" dT="2025-08-02T18:02:37.64" personId="{63954BFF-880D-4549-994F-5CA22E2AE64D}" id="{53FA734C-DCA7-4A64-A648-EE79E69250E9}">
    <text xml:space="preserve">Is hier “interval van PM taak”
</text>
  </threadedComment>
  <threadedComment ref="W3" dT="2025-08-02T18:02:37.64" personId="{63954BFF-880D-4549-994F-5CA22E2AE64D}" id="{343142F6-B939-4E50-A52C-FE36E91CE676}">
    <text xml:space="preserve">Is hier “aantal jaren na laatste vervanging”
</text>
  </threadedComment>
  <threadedComment ref="V6" dT="2025-08-02T18:28:33.00" personId="{63954BFF-880D-4549-994F-5CA22E2AE64D}" id="{6E449172-0E9A-4531-A73B-D9007D6A3E06}">
    <text>Is hier dus altijd 0</text>
  </threadedComment>
  <threadedComment ref="W6" dT="2025-08-02T18:28:53.29" personId="{63954BFF-880D-4549-994F-5CA22E2AE64D}" id="{B94EF7A6-841E-40F0-87F1-C0BC8968D87D}">
    <text>Is hier dus altijd 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3" dT="2025-04-29T09:24:26.71" personId="{63954BFF-880D-4549-994F-5CA22E2AE64D}" id="{0B7E556A-A196-40BB-B1AB-B5378B8F3901}">
    <text>Gebruik van 0,5 levert geen goede uitkomst in situaties waarin Testinterval hoog is in verhouding tot MTTF.
Dus geen 0,5*lambda*T maar zie onderstaande bron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7" dT="2025-08-01T09:13:41.69" personId="{63954BFF-880D-4549-994F-5CA22E2AE64D}" id="{E4FAAE8C-DEF0-4E56-B6A2-61017C63B76C}">
    <text>Verschil met RCMCost als jaren na laatste MTTF binnen LCC (restjaren) hoog zijn in verhouding tot MTTF -&gt; in deze simulatie 2 jaar op een MTTF van 3.</text>
  </threadedComment>
  <threadedComment ref="F7" dT="2025-08-01T09:14:06.03" personId="{63954BFF-880D-4549-994F-5CA22E2AE64D}" id="{55B507F3-9BE6-4BEC-9D99-DA28DBEF317F}">
    <text xml:space="preserve">Komt hier al heel dicht aan RCMCost -&gt; in deze simulatie 1 restjaar op een MTTF van 4.
</text>
  </threadedComment>
  <threadedComment ref="H21" dT="2025-08-14T12:08:49.10" personId="{63954BFF-880D-4549-994F-5CA22E2AE64D}" id="{78F191B1-ED68-416E-95D4-81E728AFE694}">
    <text>Merk op dat deze simulatie feitelijk gelijk is aan ‘SAO simulatie 3’.</text>
  </threadedComment>
  <threadedComment ref="C35" dT="2025-08-14T12:10:25.27" personId="{63954BFF-880D-4549-994F-5CA22E2AE64D}" id="{77C5906D-A906-4DBF-914C-01656E13D5C1}">
    <text>Overeenkomstig met ‘SAO simulatie 3’ en ‘GAO simulatie 6’.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eople.sc.fsu.edu/~jburkardt/presentations/truncated_normal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thescipub.com/pdf/jmssp.2008.284.288.pdf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34EA-BB3B-4629-82B4-10D90A843E70}">
  <sheetPr>
    <tabColor theme="5"/>
  </sheetPr>
  <dimension ref="B1:AC70"/>
  <sheetViews>
    <sheetView showGridLines="0" zoomScaleNormal="100" workbookViewId="0">
      <selection activeCell="Q4" sqref="Q4"/>
    </sheetView>
  </sheetViews>
  <sheetFormatPr defaultColWidth="8.81640625" defaultRowHeight="14.5" x14ac:dyDescent="0.35"/>
  <cols>
    <col min="1" max="1" width="2.81640625" customWidth="1"/>
    <col min="2" max="2" width="3.453125" customWidth="1"/>
    <col min="3" max="3" width="23.54296875" customWidth="1"/>
    <col min="4" max="14" width="12" customWidth="1"/>
    <col min="15" max="15" width="8.81640625" customWidth="1"/>
    <col min="16" max="17" width="12" customWidth="1"/>
    <col min="21" max="21" width="14.81640625" bestFit="1" customWidth="1"/>
    <col min="22" max="22" width="10.7265625" bestFit="1" customWidth="1"/>
    <col min="23" max="24" width="9.7265625" bestFit="1" customWidth="1"/>
  </cols>
  <sheetData>
    <row r="1" spans="2:29" ht="14.5" customHeight="1" thickBot="1" x14ac:dyDescent="0.4">
      <c r="C1" s="117" t="s">
        <v>0</v>
      </c>
      <c r="M1" s="3" t="s">
        <v>1</v>
      </c>
      <c r="N1" s="118">
        <f>C3+(C3*D3*2)-N7+MAX(Q3-(C3+(C3*D3*2)),0)</f>
        <v>4</v>
      </c>
    </row>
    <row r="2" spans="2:29" ht="31" x14ac:dyDescent="0.35">
      <c r="C2" s="1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09" t="s">
        <v>8</v>
      </c>
      <c r="J2" s="110" t="s">
        <v>9</v>
      </c>
      <c r="K2" s="40" t="s">
        <v>10</v>
      </c>
      <c r="L2" s="40" t="s">
        <v>11</v>
      </c>
      <c r="M2" s="40" t="s">
        <v>12</v>
      </c>
      <c r="N2" s="7" t="s">
        <v>13</v>
      </c>
      <c r="O2" s="6"/>
      <c r="P2" s="17" t="s">
        <v>14</v>
      </c>
      <c r="Q2" s="17" t="s">
        <v>15</v>
      </c>
      <c r="R2" s="6"/>
    </row>
    <row r="3" spans="2:29" ht="15" thickBot="1" x14ac:dyDescent="0.4">
      <c r="C3" s="18">
        <v>10</v>
      </c>
      <c r="D3" s="20">
        <v>0.2</v>
      </c>
      <c r="E3" s="19">
        <v>50</v>
      </c>
      <c r="F3" s="19">
        <v>100</v>
      </c>
      <c r="G3" s="21">
        <v>10000</v>
      </c>
      <c r="H3" s="21">
        <v>20000</v>
      </c>
      <c r="I3" s="111">
        <v>0.8</v>
      </c>
      <c r="J3" s="112">
        <v>50</v>
      </c>
      <c r="K3" s="41">
        <v>21</v>
      </c>
      <c r="L3" s="41">
        <v>2025</v>
      </c>
      <c r="M3" s="41">
        <v>2020</v>
      </c>
      <c r="N3" s="8">
        <v>0</v>
      </c>
      <c r="O3" s="6"/>
      <c r="P3" s="22">
        <f>L3+K3-1</f>
        <v>2045</v>
      </c>
      <c r="Q3" s="22">
        <f>L3-M3</f>
        <v>5</v>
      </c>
      <c r="R3" s="6"/>
      <c r="X3" t="s">
        <v>16</v>
      </c>
      <c r="Z3" s="3"/>
    </row>
    <row r="4" spans="2:29" x14ac:dyDescent="0.35">
      <c r="C4" s="6"/>
      <c r="D4" s="6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6"/>
      <c r="Q4" s="6"/>
      <c r="R4" s="6"/>
      <c r="X4" t="s">
        <v>17</v>
      </c>
      <c r="Y4" t="s">
        <v>18</v>
      </c>
    </row>
    <row r="5" spans="2:29" ht="15" thickBot="1" x14ac:dyDescent="0.4">
      <c r="C5" s="6"/>
      <c r="D5" s="81" t="s">
        <v>19</v>
      </c>
      <c r="E5" s="82">
        <f>C3+(C3*D3*2)</f>
        <v>14</v>
      </c>
      <c r="F5" s="6"/>
      <c r="G5" s="6"/>
      <c r="H5" s="6"/>
      <c r="I5" s="6"/>
      <c r="J5" s="6"/>
      <c r="K5" s="6"/>
      <c r="L5" s="24"/>
      <c r="M5" s="6"/>
      <c r="N5" s="6"/>
      <c r="O5" s="6"/>
      <c r="P5" s="6"/>
      <c r="Q5" s="6"/>
      <c r="R5" s="6"/>
      <c r="W5" s="10">
        <v>2020</v>
      </c>
      <c r="X5" s="10" t="s">
        <v>20</v>
      </c>
      <c r="Y5" s="10" t="s">
        <v>20</v>
      </c>
      <c r="Z5" s="9"/>
    </row>
    <row r="6" spans="2:29" ht="15" thickBot="1" x14ac:dyDescent="0.4">
      <c r="B6" s="1"/>
      <c r="C6" s="536" t="s">
        <v>21</v>
      </c>
      <c r="D6" s="537"/>
      <c r="E6" s="39">
        <v>0.1</v>
      </c>
      <c r="F6" s="33">
        <v>0.2</v>
      </c>
      <c r="G6" s="33">
        <v>0.3</v>
      </c>
      <c r="H6" s="33">
        <v>0.4</v>
      </c>
      <c r="I6" s="33">
        <v>0.5</v>
      </c>
      <c r="J6" s="33">
        <v>0.6</v>
      </c>
      <c r="K6" s="33">
        <v>0.7</v>
      </c>
      <c r="L6" s="33">
        <v>0.8</v>
      </c>
      <c r="M6" s="33">
        <v>0.9</v>
      </c>
      <c r="N6" s="34">
        <v>1</v>
      </c>
      <c r="O6" s="6"/>
      <c r="P6" s="25"/>
      <c r="Q6" s="25"/>
      <c r="R6" s="6"/>
      <c r="W6" s="10">
        <v>2021</v>
      </c>
      <c r="X6" s="11"/>
      <c r="Y6" s="10"/>
      <c r="Z6" s="9"/>
    </row>
    <row r="7" spans="2:29" x14ac:dyDescent="0.35">
      <c r="B7" s="509" t="s">
        <v>22</v>
      </c>
      <c r="C7" s="538" t="s">
        <v>16</v>
      </c>
      <c r="D7" s="539"/>
      <c r="E7" s="36">
        <f t="shared" ref="E7:N7" si="0">$C3*E6</f>
        <v>1</v>
      </c>
      <c r="F7" s="29">
        <f t="shared" si="0"/>
        <v>2</v>
      </c>
      <c r="G7" s="29">
        <f t="shared" si="0"/>
        <v>3</v>
      </c>
      <c r="H7" s="29">
        <f t="shared" si="0"/>
        <v>4</v>
      </c>
      <c r="I7" s="29">
        <f t="shared" si="0"/>
        <v>5</v>
      </c>
      <c r="J7" s="29">
        <f t="shared" si="0"/>
        <v>6</v>
      </c>
      <c r="K7" s="35">
        <f t="shared" si="0"/>
        <v>7</v>
      </c>
      <c r="L7" s="29">
        <f t="shared" si="0"/>
        <v>8</v>
      </c>
      <c r="M7" s="29">
        <f t="shared" si="0"/>
        <v>9</v>
      </c>
      <c r="N7" s="30">
        <f t="shared" si="0"/>
        <v>10</v>
      </c>
      <c r="O7" s="6"/>
      <c r="P7" s="25" t="s">
        <v>23</v>
      </c>
      <c r="Q7" s="25"/>
      <c r="R7" s="6"/>
      <c r="W7" s="10">
        <v>2022</v>
      </c>
      <c r="X7" s="11"/>
      <c r="Y7" s="11"/>
    </row>
    <row r="8" spans="2:29" x14ac:dyDescent="0.35">
      <c r="B8" s="510"/>
      <c r="C8" s="533" t="s">
        <v>24</v>
      </c>
      <c r="D8" s="540"/>
      <c r="E8" s="37">
        <f t="shared" ref="E8:N8" si="1">$L3+E7-$Q3+$N3</f>
        <v>2021</v>
      </c>
      <c r="F8" s="27">
        <f t="shared" si="1"/>
        <v>2022</v>
      </c>
      <c r="G8" s="27">
        <f t="shared" si="1"/>
        <v>2023</v>
      </c>
      <c r="H8" s="27">
        <f t="shared" si="1"/>
        <v>2024</v>
      </c>
      <c r="I8" s="27">
        <f t="shared" si="1"/>
        <v>2025</v>
      </c>
      <c r="J8" s="27">
        <f t="shared" si="1"/>
        <v>2026</v>
      </c>
      <c r="K8" s="27">
        <f t="shared" si="1"/>
        <v>2027</v>
      </c>
      <c r="L8" s="27">
        <f t="shared" si="1"/>
        <v>2028</v>
      </c>
      <c r="M8" s="27">
        <f t="shared" si="1"/>
        <v>2029</v>
      </c>
      <c r="N8" s="31">
        <f t="shared" si="1"/>
        <v>2030</v>
      </c>
      <c r="O8" s="6"/>
      <c r="P8" s="25" t="s">
        <v>25</v>
      </c>
      <c r="Q8" s="25"/>
      <c r="R8" s="6"/>
      <c r="W8" s="10">
        <v>2023</v>
      </c>
      <c r="X8" s="10"/>
      <c r="Y8" s="11"/>
    </row>
    <row r="9" spans="2:29" x14ac:dyDescent="0.35">
      <c r="B9" s="510"/>
      <c r="C9" s="533" t="s">
        <v>26</v>
      </c>
      <c r="D9" s="534"/>
      <c r="E9" s="37">
        <f t="shared" ref="E9:N9" si="2">IF(E8&lt;$L3,$L3,E8)</f>
        <v>2025</v>
      </c>
      <c r="F9" s="27">
        <f t="shared" si="2"/>
        <v>2025</v>
      </c>
      <c r="G9" s="27">
        <f t="shared" si="2"/>
        <v>2025</v>
      </c>
      <c r="H9" s="27">
        <f t="shared" si="2"/>
        <v>2025</v>
      </c>
      <c r="I9" s="27">
        <f t="shared" si="2"/>
        <v>2025</v>
      </c>
      <c r="J9" s="27">
        <f t="shared" si="2"/>
        <v>2026</v>
      </c>
      <c r="K9" s="27">
        <f t="shared" si="2"/>
        <v>2027</v>
      </c>
      <c r="L9" s="27">
        <f t="shared" si="2"/>
        <v>2028</v>
      </c>
      <c r="M9" s="27">
        <f t="shared" si="2"/>
        <v>2029</v>
      </c>
      <c r="N9" s="31">
        <f t="shared" si="2"/>
        <v>2030</v>
      </c>
      <c r="O9" s="6"/>
      <c r="P9" s="25" t="s">
        <v>27</v>
      </c>
      <c r="Q9" s="42"/>
      <c r="R9" s="42"/>
      <c r="S9" s="42"/>
      <c r="T9" s="42"/>
      <c r="U9" s="42"/>
      <c r="V9" s="42"/>
      <c r="W9" s="10">
        <v>2024</v>
      </c>
      <c r="X9" s="11"/>
      <c r="Y9" s="10"/>
      <c r="Z9" s="9"/>
      <c r="AA9" s="42"/>
      <c r="AB9" s="42"/>
      <c r="AC9" s="25"/>
    </row>
    <row r="10" spans="2:29" x14ac:dyDescent="0.35">
      <c r="B10" s="510"/>
      <c r="C10" s="520" t="s">
        <v>28</v>
      </c>
      <c r="D10" s="521"/>
      <c r="E10" s="37">
        <f t="shared" ref="E10:N10" si="3">IF(E9&gt;$P3,0,TRUNC(($P3-E9)/E7)+1)</f>
        <v>21</v>
      </c>
      <c r="F10" s="27">
        <f t="shared" si="3"/>
        <v>11</v>
      </c>
      <c r="G10" s="27">
        <f t="shared" si="3"/>
        <v>7</v>
      </c>
      <c r="H10" s="27">
        <f t="shared" si="3"/>
        <v>6</v>
      </c>
      <c r="I10" s="27">
        <f t="shared" si="3"/>
        <v>5</v>
      </c>
      <c r="J10" s="27">
        <f t="shared" si="3"/>
        <v>4</v>
      </c>
      <c r="K10" s="27">
        <f t="shared" si="3"/>
        <v>3</v>
      </c>
      <c r="L10" s="27">
        <f t="shared" si="3"/>
        <v>3</v>
      </c>
      <c r="M10" s="27">
        <f t="shared" si="3"/>
        <v>2</v>
      </c>
      <c r="N10" s="31">
        <f t="shared" si="3"/>
        <v>2</v>
      </c>
      <c r="O10" s="6"/>
      <c r="P10" s="6" t="s">
        <v>29</v>
      </c>
      <c r="Q10" s="26"/>
      <c r="R10" s="6"/>
      <c r="W10" s="15">
        <v>2025</v>
      </c>
      <c r="X10" s="11"/>
      <c r="Y10" s="11"/>
      <c r="Z10" s="9"/>
    </row>
    <row r="11" spans="2:29" x14ac:dyDescent="0.35">
      <c r="B11" s="510"/>
      <c r="C11" s="520" t="s">
        <v>30</v>
      </c>
      <c r="D11" s="521"/>
      <c r="E11" s="37">
        <f>IF(E10=0,E9,E9+(E10-1)*E7)</f>
        <v>2045</v>
      </c>
      <c r="F11" s="27">
        <f t="shared" ref="F11:N11" si="4">IF(F10=0,F9,F9+(F10-1)*F7)</f>
        <v>2045</v>
      </c>
      <c r="G11" s="27">
        <f t="shared" si="4"/>
        <v>2043</v>
      </c>
      <c r="H11" s="27">
        <f t="shared" si="4"/>
        <v>2045</v>
      </c>
      <c r="I11" s="27">
        <f t="shared" si="4"/>
        <v>2045</v>
      </c>
      <c r="J11" s="27">
        <f t="shared" si="4"/>
        <v>2044</v>
      </c>
      <c r="K11" s="27">
        <f>IF(K10=0,K9,K9+(K10-1)*K7)</f>
        <v>2041</v>
      </c>
      <c r="L11" s="27">
        <f t="shared" si="4"/>
        <v>2044</v>
      </c>
      <c r="M11" s="27">
        <f t="shared" si="4"/>
        <v>2038</v>
      </c>
      <c r="N11" s="31">
        <f t="shared" si="4"/>
        <v>2040</v>
      </c>
      <c r="O11" s="6"/>
      <c r="P11" s="6"/>
      <c r="Q11" s="26"/>
      <c r="R11" s="6"/>
      <c r="W11" s="15">
        <v>2026</v>
      </c>
      <c r="X11" s="11"/>
      <c r="Y11" s="11"/>
    </row>
    <row r="12" spans="2:29" x14ac:dyDescent="0.35">
      <c r="B12" s="510"/>
      <c r="C12" s="533" t="s">
        <v>31</v>
      </c>
      <c r="D12" s="540"/>
      <c r="E12" s="51">
        <f t="shared" ref="E12:N12" si="5">IF(E9&gt;$P3,$K3,E9-$L3)</f>
        <v>0</v>
      </c>
      <c r="F12" s="52">
        <f t="shared" si="5"/>
        <v>0</v>
      </c>
      <c r="G12" s="52">
        <f t="shared" si="5"/>
        <v>0</v>
      </c>
      <c r="H12" s="52">
        <f t="shared" si="5"/>
        <v>0</v>
      </c>
      <c r="I12" s="52">
        <f t="shared" si="5"/>
        <v>0</v>
      </c>
      <c r="J12" s="52">
        <f t="shared" si="5"/>
        <v>1</v>
      </c>
      <c r="K12" s="52">
        <f t="shared" si="5"/>
        <v>2</v>
      </c>
      <c r="L12" s="52">
        <f t="shared" si="5"/>
        <v>3</v>
      </c>
      <c r="M12" s="52">
        <f t="shared" si="5"/>
        <v>4</v>
      </c>
      <c r="N12" s="53">
        <f t="shared" si="5"/>
        <v>5</v>
      </c>
      <c r="O12" s="6"/>
      <c r="P12" s="6"/>
      <c r="Q12" s="26"/>
      <c r="R12" s="6"/>
      <c r="W12" s="15">
        <v>2027</v>
      </c>
      <c r="X12" s="11"/>
      <c r="Y12" s="11" t="s">
        <v>20</v>
      </c>
    </row>
    <row r="13" spans="2:29" ht="15" thickBot="1" x14ac:dyDescent="0.4">
      <c r="B13" s="515"/>
      <c r="C13" s="526" t="s">
        <v>32</v>
      </c>
      <c r="D13" s="541"/>
      <c r="E13" s="46">
        <f t="shared" ref="E13:N13" si="6">IF(E11&lt;=$P3,$P3-(E11-1),0)</f>
        <v>1</v>
      </c>
      <c r="F13" s="47">
        <f t="shared" si="6"/>
        <v>1</v>
      </c>
      <c r="G13" s="47">
        <f t="shared" si="6"/>
        <v>3</v>
      </c>
      <c r="H13" s="47">
        <f t="shared" si="6"/>
        <v>1</v>
      </c>
      <c r="I13" s="47">
        <f t="shared" si="6"/>
        <v>1</v>
      </c>
      <c r="J13" s="47">
        <f t="shared" si="6"/>
        <v>2</v>
      </c>
      <c r="K13" s="47">
        <f t="shared" si="6"/>
        <v>5</v>
      </c>
      <c r="L13" s="47">
        <f t="shared" si="6"/>
        <v>2</v>
      </c>
      <c r="M13" s="47">
        <f t="shared" si="6"/>
        <v>8</v>
      </c>
      <c r="N13" s="48">
        <f t="shared" si="6"/>
        <v>6</v>
      </c>
      <c r="O13" s="6"/>
      <c r="P13" s="6"/>
      <c r="Q13" s="26"/>
      <c r="R13" s="6"/>
      <c r="W13" s="14">
        <v>2028</v>
      </c>
      <c r="X13" s="11" t="s">
        <v>20</v>
      </c>
      <c r="Y13" s="11"/>
    </row>
    <row r="14" spans="2:29" x14ac:dyDescent="0.35">
      <c r="B14" s="509" t="s">
        <v>33</v>
      </c>
      <c r="C14" s="511" t="s">
        <v>34</v>
      </c>
      <c r="D14" s="512"/>
      <c r="E14" s="54">
        <f t="shared" ref="E14:N14" si="7">IF(E12=0,0,(_xlfn.NORM.DIST(MIN(E7+$N3,$Q3+$K3),$C3,$C3*$D3,TRUE)-_xlfn.NORM.DIST($Q3,$C3,$C3*$D3,TRUE))/(1-_xlfn.NORM.DIST($Q3,$C3,$C3*$D3,TRUE)))</f>
        <v>0</v>
      </c>
      <c r="F14" s="55">
        <f t="shared" si="7"/>
        <v>0</v>
      </c>
      <c r="G14" s="55">
        <f t="shared" si="7"/>
        <v>0</v>
      </c>
      <c r="H14" s="55">
        <f t="shared" si="7"/>
        <v>0</v>
      </c>
      <c r="I14" s="55">
        <f t="shared" si="7"/>
        <v>0</v>
      </c>
      <c r="J14" s="55">
        <f t="shared" si="7"/>
        <v>1.6643819169186443E-2</v>
      </c>
      <c r="K14" s="55">
        <f t="shared" si="7"/>
        <v>6.0976177598815663E-2</v>
      </c>
      <c r="L14" s="55">
        <f t="shared" si="7"/>
        <v>0.15339813971490709</v>
      </c>
      <c r="M14" s="55">
        <f t="shared" si="7"/>
        <v>0.30421695890141393</v>
      </c>
      <c r="N14" s="56">
        <f t="shared" si="7"/>
        <v>0.49687576689513097</v>
      </c>
      <c r="O14" s="6"/>
      <c r="P14" s="63" t="s">
        <v>35</v>
      </c>
      <c r="Q14" s="24"/>
      <c r="R14" s="6"/>
      <c r="W14" s="14">
        <v>2029</v>
      </c>
      <c r="X14" s="11"/>
      <c r="Y14" s="11"/>
      <c r="Z14" s="3"/>
    </row>
    <row r="15" spans="2:29" x14ac:dyDescent="0.35">
      <c r="B15" s="510"/>
      <c r="C15" s="513" t="s">
        <v>36</v>
      </c>
      <c r="D15" s="542"/>
      <c r="E15" s="57">
        <f t="shared" ref="E15:N15" si="8">IF(E13=0,0,_xlfn.NORM.DIST(E13,$C3,$C3*$D3,TRUE))</f>
        <v>3.3976731247300535E-6</v>
      </c>
      <c r="F15" s="58">
        <f t="shared" si="8"/>
        <v>3.3976731247300535E-6</v>
      </c>
      <c r="G15" s="58">
        <f t="shared" si="8"/>
        <v>2.3262907903552504E-4</v>
      </c>
      <c r="H15" s="58">
        <f t="shared" si="8"/>
        <v>3.3976731247300535E-6</v>
      </c>
      <c r="I15" s="58">
        <f t="shared" si="8"/>
        <v>3.3976731247300535E-6</v>
      </c>
      <c r="J15" s="58">
        <f t="shared" si="8"/>
        <v>3.1671241833119857E-5</v>
      </c>
      <c r="K15" s="58">
        <f t="shared" si="8"/>
        <v>6.2096653257761331E-3</v>
      </c>
      <c r="L15" s="58">
        <f t="shared" si="8"/>
        <v>3.1671241833119857E-5</v>
      </c>
      <c r="M15" s="58">
        <f t="shared" si="8"/>
        <v>0.15865525393145699</v>
      </c>
      <c r="N15" s="59">
        <f t="shared" si="8"/>
        <v>2.2750131948179191E-2</v>
      </c>
      <c r="O15" s="6"/>
      <c r="P15" s="236" t="s">
        <v>37</v>
      </c>
      <c r="Q15" s="237"/>
      <c r="R15" s="236"/>
      <c r="S15" s="238"/>
      <c r="T15" s="238"/>
      <c r="U15" s="238"/>
      <c r="W15" s="14">
        <v>2030</v>
      </c>
      <c r="X15" s="11"/>
      <c r="Y15" s="11"/>
    </row>
    <row r="16" spans="2:29" ht="15" thickBot="1" x14ac:dyDescent="0.4">
      <c r="B16" s="510"/>
      <c r="C16" s="513" t="s">
        <v>38</v>
      </c>
      <c r="D16" s="542"/>
      <c r="E16" s="57">
        <f t="shared" ref="E16:N16" si="9">IF(E10&gt;1,_xlfn.NORM.DIST(E7,$C3,$C3*$D3,TRUE),0)</f>
        <v>3.3976731247300535E-6</v>
      </c>
      <c r="F16" s="58">
        <f t="shared" si="9"/>
        <v>3.1671241833119857E-5</v>
      </c>
      <c r="G16" s="58">
        <f t="shared" si="9"/>
        <v>2.3262907903552504E-4</v>
      </c>
      <c r="H16" s="58">
        <f t="shared" si="9"/>
        <v>1.3498980316300933E-3</v>
      </c>
      <c r="I16" s="58">
        <f t="shared" si="9"/>
        <v>6.2096653257761331E-3</v>
      </c>
      <c r="J16" s="58">
        <f t="shared" si="9"/>
        <v>2.2750131948179191E-2</v>
      </c>
      <c r="K16" s="58">
        <f t="shared" si="9"/>
        <v>6.6807201268858057E-2</v>
      </c>
      <c r="L16" s="58">
        <f t="shared" si="9"/>
        <v>0.15865525393145699</v>
      </c>
      <c r="M16" s="58">
        <f t="shared" si="9"/>
        <v>0.30853753872598688</v>
      </c>
      <c r="N16" s="59">
        <f t="shared" si="9"/>
        <v>0.5</v>
      </c>
      <c r="O16" s="6"/>
      <c r="P16" s="25" t="s">
        <v>39</v>
      </c>
      <c r="Q16" s="24"/>
      <c r="R16" s="6"/>
      <c r="W16" s="14">
        <v>2031</v>
      </c>
      <c r="X16" s="11"/>
      <c r="Y16" s="11"/>
    </row>
    <row r="17" spans="2:25" x14ac:dyDescent="0.35">
      <c r="B17" s="509" t="s">
        <v>40</v>
      </c>
      <c r="C17" s="516" t="s">
        <v>41</v>
      </c>
      <c r="D17" s="517"/>
      <c r="E17" s="64">
        <f t="shared" ref="E17:N17" si="10">E14*$H3</f>
        <v>0</v>
      </c>
      <c r="F17" s="65">
        <f t="shared" si="10"/>
        <v>0</v>
      </c>
      <c r="G17" s="65">
        <f t="shared" si="10"/>
        <v>0</v>
      </c>
      <c r="H17" s="65">
        <f t="shared" si="10"/>
        <v>0</v>
      </c>
      <c r="I17" s="65">
        <f t="shared" si="10"/>
        <v>0</v>
      </c>
      <c r="J17" s="65">
        <f t="shared" si="10"/>
        <v>332.87638338372886</v>
      </c>
      <c r="K17" s="65">
        <f t="shared" si="10"/>
        <v>1219.5235519763132</v>
      </c>
      <c r="L17" s="65">
        <f t="shared" si="10"/>
        <v>3067.9627942981419</v>
      </c>
      <c r="M17" s="65">
        <f t="shared" si="10"/>
        <v>6084.3391780282782</v>
      </c>
      <c r="N17" s="66">
        <f t="shared" si="10"/>
        <v>9937.5153379026196</v>
      </c>
      <c r="O17" s="6"/>
      <c r="P17" s="6" t="s">
        <v>42</v>
      </c>
      <c r="Q17" s="24"/>
      <c r="R17" s="6"/>
      <c r="W17" s="14">
        <v>2032</v>
      </c>
      <c r="X17" s="11"/>
      <c r="Y17" s="11"/>
    </row>
    <row r="18" spans="2:25" x14ac:dyDescent="0.35">
      <c r="B18" s="510"/>
      <c r="C18" s="518" t="s">
        <v>43</v>
      </c>
      <c r="D18" s="535"/>
      <c r="E18" s="67">
        <f t="shared" ref="E18:N18" si="11">E15*$H3</f>
        <v>6.7953462494601075E-2</v>
      </c>
      <c r="F18" s="68">
        <f t="shared" si="11"/>
        <v>6.7953462494601075E-2</v>
      </c>
      <c r="G18" s="68">
        <f t="shared" si="11"/>
        <v>4.6525815807105007</v>
      </c>
      <c r="H18" s="68">
        <f t="shared" si="11"/>
        <v>6.7953462494601075E-2</v>
      </c>
      <c r="I18" s="68">
        <f t="shared" si="11"/>
        <v>6.7953462494601075E-2</v>
      </c>
      <c r="J18" s="68">
        <f t="shared" si="11"/>
        <v>0.63342483666239713</v>
      </c>
      <c r="K18" s="68">
        <f t="shared" si="11"/>
        <v>124.19330651552266</v>
      </c>
      <c r="L18" s="68">
        <f t="shared" si="11"/>
        <v>0.63342483666239713</v>
      </c>
      <c r="M18" s="68">
        <f t="shared" si="11"/>
        <v>3173.1050786291398</v>
      </c>
      <c r="N18" s="69">
        <f t="shared" si="11"/>
        <v>455.00263896358382</v>
      </c>
      <c r="O18" s="6"/>
      <c r="P18" s="79" t="s">
        <v>44</v>
      </c>
      <c r="Q18" s="24"/>
      <c r="R18" s="6"/>
      <c r="W18" s="14">
        <v>2033</v>
      </c>
      <c r="X18" s="11"/>
      <c r="Y18" s="11"/>
    </row>
    <row r="19" spans="2:25" x14ac:dyDescent="0.35">
      <c r="B19" s="510"/>
      <c r="C19" s="518" t="s">
        <v>45</v>
      </c>
      <c r="D19" s="535"/>
      <c r="E19" s="67">
        <f t="shared" ref="E19:N19" si="12">E16*$H3*(E10-1)</f>
        <v>1.3590692498920216</v>
      </c>
      <c r="F19" s="68">
        <f t="shared" si="12"/>
        <v>6.3342483666239708</v>
      </c>
      <c r="G19" s="68">
        <f t="shared" si="12"/>
        <v>27.915489484263006</v>
      </c>
      <c r="H19" s="68">
        <f t="shared" si="12"/>
        <v>134.98980316300933</v>
      </c>
      <c r="I19" s="68">
        <f t="shared" si="12"/>
        <v>496.77322606209066</v>
      </c>
      <c r="J19" s="68">
        <f t="shared" si="12"/>
        <v>1365.0079168907514</v>
      </c>
      <c r="K19" s="68">
        <f t="shared" si="12"/>
        <v>2672.2880507543223</v>
      </c>
      <c r="L19" s="68">
        <f t="shared" si="12"/>
        <v>6346.2101572582797</v>
      </c>
      <c r="M19" s="68">
        <f t="shared" si="12"/>
        <v>6170.7507745197372</v>
      </c>
      <c r="N19" s="69">
        <f t="shared" si="12"/>
        <v>10000</v>
      </c>
      <c r="O19" s="6"/>
      <c r="P19" s="80" t="s">
        <v>46</v>
      </c>
      <c r="Q19" s="24"/>
      <c r="R19" s="6"/>
      <c r="W19" s="14">
        <v>2034</v>
      </c>
      <c r="X19" s="11"/>
      <c r="Y19" s="11" t="s">
        <v>20</v>
      </c>
    </row>
    <row r="20" spans="2:25" x14ac:dyDescent="0.35">
      <c r="B20" s="510"/>
      <c r="C20" s="513" t="s">
        <v>47</v>
      </c>
      <c r="D20" s="542"/>
      <c r="E20" s="43">
        <f>SUM(E17:E19)</f>
        <v>1.4270227123866226</v>
      </c>
      <c r="F20" s="44">
        <f t="shared" ref="F20:N20" si="13">SUM(F17:F19)</f>
        <v>6.4022018291185718</v>
      </c>
      <c r="G20" s="44">
        <f t="shared" si="13"/>
        <v>32.568071064973509</v>
      </c>
      <c r="H20" s="44">
        <f t="shared" si="13"/>
        <v>135.05775662550394</v>
      </c>
      <c r="I20" s="44">
        <f t="shared" si="13"/>
        <v>496.84117952458524</v>
      </c>
      <c r="J20" s="44">
        <f t="shared" si="13"/>
        <v>1698.5177251111427</v>
      </c>
      <c r="K20" s="44">
        <f t="shared" si="13"/>
        <v>4016.0049092461581</v>
      </c>
      <c r="L20" s="44">
        <f t="shared" si="13"/>
        <v>9414.8063763930841</v>
      </c>
      <c r="M20" s="44">
        <f t="shared" si="13"/>
        <v>15428.195031177154</v>
      </c>
      <c r="N20" s="45">
        <f t="shared" si="13"/>
        <v>20392.517976866206</v>
      </c>
      <c r="O20" s="6"/>
      <c r="P20" s="24"/>
      <c r="Q20" s="24"/>
      <c r="R20" s="6"/>
      <c r="W20" s="14">
        <v>2035</v>
      </c>
      <c r="X20" s="11"/>
      <c r="Y20" s="11"/>
    </row>
    <row r="21" spans="2:25" x14ac:dyDescent="0.35">
      <c r="B21" s="510"/>
      <c r="C21" s="520" t="s">
        <v>48</v>
      </c>
      <c r="D21" s="521"/>
      <c r="E21" s="38">
        <f t="shared" ref="E21:N21" si="14">E10*$G3</f>
        <v>210000</v>
      </c>
      <c r="F21" s="28">
        <f t="shared" si="14"/>
        <v>110000</v>
      </c>
      <c r="G21" s="28">
        <f t="shared" si="14"/>
        <v>70000</v>
      </c>
      <c r="H21" s="28">
        <f t="shared" si="14"/>
        <v>60000</v>
      </c>
      <c r="I21" s="28">
        <f t="shared" si="14"/>
        <v>50000</v>
      </c>
      <c r="J21" s="28">
        <f t="shared" si="14"/>
        <v>40000</v>
      </c>
      <c r="K21" s="28">
        <f t="shared" si="14"/>
        <v>30000</v>
      </c>
      <c r="L21" s="28">
        <f t="shared" si="14"/>
        <v>30000</v>
      </c>
      <c r="M21" s="28">
        <f t="shared" si="14"/>
        <v>20000</v>
      </c>
      <c r="N21" s="32">
        <f t="shared" si="14"/>
        <v>20000</v>
      </c>
      <c r="O21" s="6"/>
      <c r="P21" s="80" t="s">
        <v>49</v>
      </c>
      <c r="Q21" s="24"/>
      <c r="R21" s="6"/>
      <c r="W21" s="12">
        <v>2036</v>
      </c>
      <c r="X21" s="11" t="s">
        <v>20</v>
      </c>
      <c r="Y21" s="11"/>
    </row>
    <row r="22" spans="2:25" x14ac:dyDescent="0.35">
      <c r="B22" s="510"/>
      <c r="C22" s="520" t="s">
        <v>50</v>
      </c>
      <c r="D22" s="521"/>
      <c r="E22" s="38">
        <f>SUM(E20:E21)</f>
        <v>210001.42702271239</v>
      </c>
      <c r="F22" s="28">
        <f t="shared" ref="F22:N22" si="15">SUM(F20:F21)</f>
        <v>110006.40220182911</v>
      </c>
      <c r="G22" s="28">
        <f t="shared" si="15"/>
        <v>70032.568071064976</v>
      </c>
      <c r="H22" s="28">
        <f t="shared" si="15"/>
        <v>60135.057756625501</v>
      </c>
      <c r="I22" s="28">
        <f t="shared" si="15"/>
        <v>50496.841179524585</v>
      </c>
      <c r="J22" s="28">
        <f t="shared" si="15"/>
        <v>41698.517725111145</v>
      </c>
      <c r="K22" s="28">
        <f t="shared" si="15"/>
        <v>34016.004909246156</v>
      </c>
      <c r="L22" s="28">
        <f t="shared" si="15"/>
        <v>39414.806376393084</v>
      </c>
      <c r="M22" s="28">
        <f t="shared" si="15"/>
        <v>35428.195031177151</v>
      </c>
      <c r="N22" s="32">
        <f t="shared" si="15"/>
        <v>40392.517976866206</v>
      </c>
      <c r="O22" s="6"/>
      <c r="P22" s="24"/>
      <c r="Q22" s="24"/>
      <c r="R22" s="6"/>
      <c r="W22" s="12">
        <v>2037</v>
      </c>
      <c r="X22" s="11"/>
      <c r="Y22" s="11"/>
    </row>
    <row r="23" spans="2:25" ht="15" thickBot="1" x14ac:dyDescent="0.4">
      <c r="B23" s="515"/>
      <c r="C23" s="522" t="s">
        <v>51</v>
      </c>
      <c r="D23" s="523"/>
      <c r="E23" s="49">
        <f t="shared" ref="E23:N23" si="16">E22/$K3</f>
        <v>10000.067953462494</v>
      </c>
      <c r="F23" s="21">
        <f t="shared" si="16"/>
        <v>5238.4001048490054</v>
      </c>
      <c r="G23" s="21">
        <f t="shared" si="16"/>
        <v>3334.8841938602368</v>
      </c>
      <c r="H23" s="21">
        <f t="shared" si="16"/>
        <v>2863.5741788869286</v>
      </c>
      <c r="I23" s="21">
        <f t="shared" si="16"/>
        <v>2404.611484739266</v>
      </c>
      <c r="J23" s="21">
        <f t="shared" si="16"/>
        <v>1985.6437011957689</v>
      </c>
      <c r="K23" s="21">
        <f t="shared" si="16"/>
        <v>1619.8097575831503</v>
      </c>
      <c r="L23" s="21">
        <f t="shared" si="16"/>
        <v>1876.8955417330039</v>
      </c>
      <c r="M23" s="21">
        <f t="shared" si="16"/>
        <v>1687.0569062465311</v>
      </c>
      <c r="N23" s="50">
        <f t="shared" si="16"/>
        <v>1923.4532369936289</v>
      </c>
      <c r="O23" s="24"/>
      <c r="P23" s="25"/>
      <c r="Q23" s="25"/>
      <c r="R23" s="6"/>
      <c r="W23" s="12">
        <v>2038</v>
      </c>
      <c r="X23" s="11"/>
      <c r="Y23" s="11"/>
    </row>
    <row r="24" spans="2:25" x14ac:dyDescent="0.35">
      <c r="B24" s="509" t="s">
        <v>52</v>
      </c>
      <c r="C24" s="516" t="s">
        <v>53</v>
      </c>
      <c r="D24" s="517"/>
      <c r="E24" s="70">
        <f t="shared" ref="E24:N24" si="17">E14*$F3</f>
        <v>0</v>
      </c>
      <c r="F24" s="71">
        <f t="shared" si="17"/>
        <v>0</v>
      </c>
      <c r="G24" s="71">
        <f t="shared" si="17"/>
        <v>0</v>
      </c>
      <c r="H24" s="71">
        <f t="shared" si="17"/>
        <v>0</v>
      </c>
      <c r="I24" s="71">
        <f t="shared" si="17"/>
        <v>0</v>
      </c>
      <c r="J24" s="71">
        <f t="shared" si="17"/>
        <v>1.6643819169186442</v>
      </c>
      <c r="K24" s="71">
        <f t="shared" si="17"/>
        <v>6.0976177598815662</v>
      </c>
      <c r="L24" s="71">
        <f t="shared" si="17"/>
        <v>15.33981397149071</v>
      </c>
      <c r="M24" s="71">
        <f t="shared" si="17"/>
        <v>30.421695890141393</v>
      </c>
      <c r="N24" s="72">
        <f t="shared" si="17"/>
        <v>49.687576689513094</v>
      </c>
      <c r="O24" s="6"/>
      <c r="P24" s="6"/>
      <c r="Q24" s="6"/>
      <c r="R24" s="6"/>
      <c r="W24" s="12">
        <v>2039</v>
      </c>
      <c r="X24" s="11"/>
      <c r="Y24" s="11"/>
    </row>
    <row r="25" spans="2:25" x14ac:dyDescent="0.35">
      <c r="B25" s="510"/>
      <c r="C25" s="524" t="s">
        <v>54</v>
      </c>
      <c r="D25" s="543"/>
      <c r="E25" s="73">
        <f t="shared" ref="E25:N25" si="18">E15*$F3</f>
        <v>3.3976731247300536E-4</v>
      </c>
      <c r="F25" s="74">
        <f t="shared" si="18"/>
        <v>3.3976731247300536E-4</v>
      </c>
      <c r="G25" s="74">
        <f t="shared" si="18"/>
        <v>2.3262907903552503E-2</v>
      </c>
      <c r="H25" s="74">
        <f t="shared" si="18"/>
        <v>3.3976731247300536E-4</v>
      </c>
      <c r="I25" s="74">
        <f t="shared" si="18"/>
        <v>3.3976731247300536E-4</v>
      </c>
      <c r="J25" s="74">
        <f t="shared" si="18"/>
        <v>3.1671241833119857E-3</v>
      </c>
      <c r="K25" s="74">
        <f t="shared" si="18"/>
        <v>0.62096653257761336</v>
      </c>
      <c r="L25" s="74">
        <f t="shared" si="18"/>
        <v>3.1671241833119857E-3</v>
      </c>
      <c r="M25" s="74">
        <f t="shared" si="18"/>
        <v>15.865525393145699</v>
      </c>
      <c r="N25" s="75">
        <f t="shared" si="18"/>
        <v>2.2750131948179191</v>
      </c>
      <c r="O25" s="6"/>
      <c r="P25" s="6"/>
      <c r="Q25" s="6"/>
      <c r="R25" s="6"/>
      <c r="W25" s="12">
        <v>2040</v>
      </c>
      <c r="X25" s="11"/>
      <c r="Y25" s="11"/>
    </row>
    <row r="26" spans="2:25" x14ac:dyDescent="0.35">
      <c r="B26" s="510"/>
      <c r="C26" s="524" t="s">
        <v>55</v>
      </c>
      <c r="D26" s="543"/>
      <c r="E26" s="76">
        <f t="shared" ref="E26:N26" si="19">E16*$F3*(E10-1)</f>
        <v>6.7953462494601069E-3</v>
      </c>
      <c r="F26" s="77">
        <f t="shared" si="19"/>
        <v>3.1671241833119854E-2</v>
      </c>
      <c r="G26" s="77">
        <f t="shared" si="19"/>
        <v>0.139577447421315</v>
      </c>
      <c r="H26" s="77">
        <f t="shared" si="19"/>
        <v>0.67494901581504663</v>
      </c>
      <c r="I26" s="77">
        <f t="shared" si="19"/>
        <v>2.4838661303104534</v>
      </c>
      <c r="J26" s="77">
        <f t="shared" si="19"/>
        <v>6.8250395844537568</v>
      </c>
      <c r="K26" s="77">
        <f t="shared" si="19"/>
        <v>13.361440253771612</v>
      </c>
      <c r="L26" s="77">
        <f t="shared" si="19"/>
        <v>31.731050786291398</v>
      </c>
      <c r="M26" s="77">
        <f t="shared" si="19"/>
        <v>30.853753872598688</v>
      </c>
      <c r="N26" s="78">
        <f t="shared" si="19"/>
        <v>50</v>
      </c>
      <c r="O26" s="6"/>
      <c r="P26" s="6"/>
      <c r="Q26" s="25"/>
      <c r="R26" s="6"/>
      <c r="W26" s="12">
        <v>2041</v>
      </c>
      <c r="X26" s="11"/>
      <c r="Y26" s="11" t="s">
        <v>20</v>
      </c>
    </row>
    <row r="27" spans="2:25" x14ac:dyDescent="0.35">
      <c r="B27" s="510"/>
      <c r="C27" s="520" t="s">
        <v>56</v>
      </c>
      <c r="D27" s="521"/>
      <c r="E27" s="113">
        <f t="shared" ref="E27:N27" si="20">SUM(E24:E26)/$K3</f>
        <v>3.3976731247300536E-4</v>
      </c>
      <c r="F27" s="114">
        <f t="shared" si="20"/>
        <v>1.5243337688377551E-3</v>
      </c>
      <c r="G27" s="114">
        <f t="shared" si="20"/>
        <v>7.7543026345175004E-3</v>
      </c>
      <c r="H27" s="114">
        <f t="shared" si="20"/>
        <v>3.2156608720358075E-2</v>
      </c>
      <c r="I27" s="114">
        <f t="shared" si="20"/>
        <v>0.11829551893442507</v>
      </c>
      <c r="J27" s="114">
        <f t="shared" si="20"/>
        <v>0.4044089821693197</v>
      </c>
      <c r="K27" s="114">
        <f t="shared" si="20"/>
        <v>0.9561916450586091</v>
      </c>
      <c r="L27" s="114">
        <f t="shared" si="20"/>
        <v>2.2416205658078772</v>
      </c>
      <c r="M27" s="114">
        <f t="shared" si="20"/>
        <v>3.6733797693278945</v>
      </c>
      <c r="N27" s="115">
        <f t="shared" si="20"/>
        <v>4.855361423063381</v>
      </c>
      <c r="O27" s="6"/>
      <c r="P27" s="6"/>
      <c r="Q27" s="6"/>
      <c r="R27" s="6"/>
      <c r="W27" s="12">
        <v>2042</v>
      </c>
      <c r="X27" s="11"/>
      <c r="Y27" s="11"/>
    </row>
    <row r="28" spans="2:25" ht="15" thickBot="1" x14ac:dyDescent="0.4">
      <c r="B28" s="510"/>
      <c r="C28" s="526" t="s">
        <v>57</v>
      </c>
      <c r="D28" s="541"/>
      <c r="E28" s="60">
        <f>(E10*$E3)/$K3</f>
        <v>50</v>
      </c>
      <c r="F28" s="61">
        <f t="shared" ref="F28:N28" si="21">(F10*$E3)/$K3</f>
        <v>26.19047619047619</v>
      </c>
      <c r="G28" s="61">
        <f t="shared" si="21"/>
        <v>16.666666666666668</v>
      </c>
      <c r="H28" s="61">
        <f t="shared" si="21"/>
        <v>14.285714285714286</v>
      </c>
      <c r="I28" s="61">
        <f t="shared" si="21"/>
        <v>11.904761904761905</v>
      </c>
      <c r="J28" s="61">
        <f t="shared" si="21"/>
        <v>9.5238095238095237</v>
      </c>
      <c r="K28" s="61">
        <f t="shared" si="21"/>
        <v>7.1428571428571432</v>
      </c>
      <c r="L28" s="61">
        <f t="shared" si="21"/>
        <v>7.1428571428571432</v>
      </c>
      <c r="M28" s="61">
        <f t="shared" si="21"/>
        <v>4.7619047619047619</v>
      </c>
      <c r="N28" s="62">
        <f t="shared" si="21"/>
        <v>4.7619047619047619</v>
      </c>
      <c r="O28" s="6"/>
      <c r="P28" s="6"/>
      <c r="Q28" s="6"/>
      <c r="R28" s="6"/>
      <c r="W28" s="12"/>
      <c r="X28" s="11"/>
      <c r="Y28" s="11"/>
    </row>
    <row r="29" spans="2:25" x14ac:dyDescent="0.35">
      <c r="B29" s="510"/>
      <c r="C29" s="511" t="s">
        <v>58</v>
      </c>
      <c r="D29" s="512"/>
      <c r="E29" s="54">
        <f t="shared" ref="E29" si="22">E14+E15+E16*(E10-1)</f>
        <v>7.1351135619331115E-5</v>
      </c>
      <c r="F29" s="55">
        <f t="shared" ref="F29:N29" si="23">F14+F15+F16*(F10-1)</f>
        <v>3.2011009145592863E-4</v>
      </c>
      <c r="G29" s="55">
        <f t="shared" si="23"/>
        <v>1.6284035532486754E-3</v>
      </c>
      <c r="H29" s="55">
        <f t="shared" si="23"/>
        <v>6.7528878312751962E-3</v>
      </c>
      <c r="I29" s="55">
        <f t="shared" si="23"/>
        <v>2.4842058976229264E-2</v>
      </c>
      <c r="J29" s="55">
        <f t="shared" si="23"/>
        <v>8.4925886255557137E-2</v>
      </c>
      <c r="K29" s="55">
        <f t="shared" si="23"/>
        <v>0.2008002454623079</v>
      </c>
      <c r="L29" s="55">
        <f t="shared" si="23"/>
        <v>0.47074031881965417</v>
      </c>
      <c r="M29" s="55">
        <f t="shared" si="23"/>
        <v>0.77140975155885783</v>
      </c>
      <c r="N29" s="56">
        <f t="shared" si="23"/>
        <v>1.01962589884331</v>
      </c>
      <c r="O29" s="6"/>
      <c r="P29" s="6"/>
      <c r="Q29" s="6"/>
      <c r="R29" s="6"/>
      <c r="W29" s="12">
        <v>2043</v>
      </c>
      <c r="X29" s="11"/>
      <c r="Y29" s="11"/>
    </row>
    <row r="30" spans="2:25" ht="15" thickBot="1" x14ac:dyDescent="0.4">
      <c r="B30" s="515"/>
      <c r="C30" s="526" t="s">
        <v>59</v>
      </c>
      <c r="D30" s="541"/>
      <c r="E30" s="60">
        <f t="shared" ref="E30:N30" si="24">E29/$K3</f>
        <v>3.3976731247300531E-6</v>
      </c>
      <c r="F30" s="61">
        <f t="shared" si="24"/>
        <v>1.5243337688377554E-5</v>
      </c>
      <c r="G30" s="61">
        <f t="shared" si="24"/>
        <v>7.7543026345175024E-5</v>
      </c>
      <c r="H30" s="61">
        <f t="shared" si="24"/>
        <v>3.2156608720358075E-4</v>
      </c>
      <c r="I30" s="61">
        <f t="shared" si="24"/>
        <v>1.1829551893442506E-3</v>
      </c>
      <c r="J30" s="61">
        <f t="shared" si="24"/>
        <v>4.0440898216931968E-3</v>
      </c>
      <c r="K30" s="61">
        <f t="shared" si="24"/>
        <v>9.5619164505860912E-3</v>
      </c>
      <c r="L30" s="61">
        <f t="shared" si="24"/>
        <v>2.241620565807877E-2</v>
      </c>
      <c r="M30" s="61">
        <f t="shared" si="24"/>
        <v>3.6733797693278947E-2</v>
      </c>
      <c r="N30" s="62">
        <f t="shared" si="24"/>
        <v>4.8553614230633813E-2</v>
      </c>
      <c r="O30" s="6"/>
      <c r="P30" s="6"/>
      <c r="Q30" s="6"/>
      <c r="R30" s="6"/>
      <c r="W30" s="13">
        <v>2044</v>
      </c>
      <c r="X30" s="11" t="s">
        <v>20</v>
      </c>
      <c r="Y30" s="11"/>
    </row>
    <row r="31" spans="2:25" x14ac:dyDescent="0.35">
      <c r="B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W31" s="13">
        <v>2045</v>
      </c>
      <c r="X31" s="11"/>
      <c r="Y31" s="11"/>
    </row>
    <row r="32" spans="2:25" x14ac:dyDescent="0.35">
      <c r="C32" s="6"/>
      <c r="D32" s="6"/>
      <c r="E32" s="6"/>
      <c r="F32" s="6"/>
      <c r="G32" s="6"/>
      <c r="H32" s="6"/>
      <c r="I32" s="6"/>
      <c r="J32" s="6"/>
      <c r="K32" s="6"/>
      <c r="L32" s="23"/>
      <c r="M32" s="81" t="s">
        <v>60</v>
      </c>
      <c r="N32" s="6">
        <f>(_xlfn.NORM.DIST(N7,$C3,$C3*$D3,TRUE)/N7)*K3</f>
        <v>1.05</v>
      </c>
      <c r="O32" s="6"/>
      <c r="P32" s="6"/>
      <c r="Q32" s="6"/>
      <c r="R32" s="6"/>
      <c r="W32" s="10">
        <v>2046</v>
      </c>
      <c r="X32" s="11"/>
      <c r="Y32" s="11"/>
    </row>
    <row r="33" spans="4:25" x14ac:dyDescent="0.35">
      <c r="W33" s="10">
        <v>2047</v>
      </c>
      <c r="X33" s="11"/>
      <c r="Y33" s="11"/>
    </row>
    <row r="34" spans="4:25" x14ac:dyDescent="0.35">
      <c r="K34" s="3"/>
      <c r="W34" s="10">
        <v>2048</v>
      </c>
      <c r="X34" s="11"/>
      <c r="Y34" s="11" t="s">
        <v>20</v>
      </c>
    </row>
    <row r="35" spans="4:25" x14ac:dyDescent="0.35">
      <c r="K35" s="3"/>
      <c r="L35" s="1"/>
      <c r="M35" s="1"/>
      <c r="N35" s="1"/>
      <c r="O35" s="1"/>
      <c r="P35" s="4"/>
      <c r="Q35" s="4"/>
      <c r="W35" s="10">
        <v>2049</v>
      </c>
      <c r="X35" s="11"/>
      <c r="Y35" s="11"/>
    </row>
    <row r="36" spans="4:25" x14ac:dyDescent="0.35">
      <c r="E36" s="9"/>
      <c r="F36" s="9"/>
      <c r="K36" s="3"/>
      <c r="L36" s="9"/>
      <c r="M36" s="9"/>
      <c r="N36" s="9"/>
      <c r="O36" s="1"/>
      <c r="P36" s="4"/>
      <c r="Q36" s="4"/>
      <c r="W36" s="10">
        <v>2050</v>
      </c>
      <c r="X36" s="11"/>
      <c r="Y36" s="11"/>
    </row>
    <row r="37" spans="4:25" x14ac:dyDescent="0.35">
      <c r="E37" s="9"/>
      <c r="F37" s="9"/>
      <c r="K37" s="3"/>
      <c r="L37" s="9"/>
      <c r="M37" s="9"/>
      <c r="N37" s="9"/>
      <c r="O37" s="1"/>
      <c r="P37" s="4"/>
      <c r="Q37" s="4"/>
    </row>
    <row r="38" spans="4:25" x14ac:dyDescent="0.35">
      <c r="F38" s="9"/>
      <c r="K38" s="3"/>
      <c r="O38" s="2"/>
      <c r="P38" s="2"/>
      <c r="Q38" s="2"/>
    </row>
    <row r="39" spans="4:25" x14ac:dyDescent="0.35">
      <c r="K39" s="3"/>
    </row>
    <row r="40" spans="4:25" x14ac:dyDescent="0.35">
      <c r="E40" s="9"/>
      <c r="F40" s="9"/>
      <c r="K40" s="3"/>
      <c r="L40" s="9"/>
      <c r="M40" s="9"/>
      <c r="N40" s="9"/>
    </row>
    <row r="41" spans="4:25" x14ac:dyDescent="0.35">
      <c r="K41" s="3"/>
    </row>
    <row r="42" spans="4:25" x14ac:dyDescent="0.35">
      <c r="D42" s="5"/>
      <c r="K42" s="3"/>
    </row>
    <row r="43" spans="4:25" x14ac:dyDescent="0.35">
      <c r="D43" s="5"/>
      <c r="K43" s="3"/>
    </row>
    <row r="44" spans="4:25" x14ac:dyDescent="0.35">
      <c r="D44" s="5"/>
      <c r="K44" s="3"/>
    </row>
    <row r="45" spans="4:25" x14ac:dyDescent="0.35">
      <c r="K45" s="3"/>
    </row>
    <row r="46" spans="4:25" x14ac:dyDescent="0.35">
      <c r="K46" s="3"/>
      <c r="L46" s="1"/>
      <c r="M46" s="4"/>
      <c r="N46" s="1"/>
      <c r="O46" s="4"/>
      <c r="P46" s="4"/>
      <c r="Q46" s="4"/>
    </row>
    <row r="47" spans="4:25" x14ac:dyDescent="0.35">
      <c r="K47" s="3"/>
      <c r="L47" s="1"/>
      <c r="M47" s="1"/>
      <c r="N47" s="1"/>
      <c r="O47" s="1"/>
      <c r="P47" s="4"/>
      <c r="Q47" s="4"/>
    </row>
    <row r="48" spans="4:25" x14ac:dyDescent="0.35">
      <c r="K48" s="3"/>
      <c r="M48" s="1"/>
      <c r="N48" s="1"/>
      <c r="O48" s="1"/>
      <c r="P48" s="4"/>
      <c r="Q48" s="4"/>
    </row>
    <row r="49" spans="11:17" x14ac:dyDescent="0.35">
      <c r="K49" s="3"/>
      <c r="M49" s="2"/>
      <c r="N49" s="2"/>
      <c r="O49" s="2"/>
      <c r="P49" s="2"/>
      <c r="Q49" s="2"/>
    </row>
    <row r="50" spans="11:17" x14ac:dyDescent="0.35">
      <c r="K50" s="3"/>
    </row>
    <row r="51" spans="11:17" x14ac:dyDescent="0.35">
      <c r="K51" s="3"/>
    </row>
    <row r="52" spans="11:17" x14ac:dyDescent="0.35">
      <c r="K52" s="3"/>
    </row>
    <row r="53" spans="11:17" x14ac:dyDescent="0.35">
      <c r="K53" s="3"/>
    </row>
    <row r="54" spans="11:17" x14ac:dyDescent="0.35">
      <c r="K54" s="3"/>
    </row>
    <row r="55" spans="11:17" x14ac:dyDescent="0.35">
      <c r="K55" s="3"/>
    </row>
    <row r="56" spans="11:17" x14ac:dyDescent="0.35">
      <c r="K56" s="3"/>
    </row>
    <row r="57" spans="11:17" x14ac:dyDescent="0.35">
      <c r="K57" s="3"/>
    </row>
    <row r="58" spans="11:17" x14ac:dyDescent="0.35">
      <c r="K58" s="3"/>
    </row>
    <row r="59" spans="11:17" x14ac:dyDescent="0.35">
      <c r="K59" s="3"/>
    </row>
    <row r="60" spans="11:17" x14ac:dyDescent="0.35">
      <c r="K60" s="3"/>
    </row>
    <row r="61" spans="11:17" x14ac:dyDescent="0.35">
      <c r="K61" s="3"/>
    </row>
    <row r="62" spans="11:17" x14ac:dyDescent="0.35">
      <c r="K62" s="3"/>
    </row>
    <row r="63" spans="11:17" x14ac:dyDescent="0.35">
      <c r="K63" s="3"/>
    </row>
    <row r="64" spans="11:17" x14ac:dyDescent="0.35">
      <c r="K64" s="3"/>
    </row>
    <row r="65" spans="11:11" x14ac:dyDescent="0.35">
      <c r="K65" s="3"/>
    </row>
    <row r="66" spans="11:11" x14ac:dyDescent="0.35">
      <c r="K66" s="3"/>
    </row>
    <row r="67" spans="11:11" x14ac:dyDescent="0.35">
      <c r="K67" s="3"/>
    </row>
    <row r="68" spans="11:11" x14ac:dyDescent="0.35">
      <c r="K68" s="3"/>
    </row>
    <row r="69" spans="11:11" x14ac:dyDescent="0.35">
      <c r="K69" s="3"/>
    </row>
    <row r="70" spans="11:11" x14ac:dyDescent="0.35">
      <c r="K70" s="3"/>
    </row>
  </sheetData>
  <dataConsolidate/>
  <mergeCells count="29">
    <mergeCell ref="C29:D29"/>
    <mergeCell ref="C30:D30"/>
    <mergeCell ref="B24:B30"/>
    <mergeCell ref="C24:D24"/>
    <mergeCell ref="C27:D27"/>
    <mergeCell ref="C25:D25"/>
    <mergeCell ref="C26:D26"/>
    <mergeCell ref="C28:D28"/>
    <mergeCell ref="C19:D19"/>
    <mergeCell ref="C20:D20"/>
    <mergeCell ref="C14:D14"/>
    <mergeCell ref="C15:D15"/>
    <mergeCell ref="C16:D16"/>
    <mergeCell ref="B7:B13"/>
    <mergeCell ref="B17:B23"/>
    <mergeCell ref="C18:D18"/>
    <mergeCell ref="C6:D6"/>
    <mergeCell ref="C7:D7"/>
    <mergeCell ref="C8:D8"/>
    <mergeCell ref="C10:D10"/>
    <mergeCell ref="C11:D11"/>
    <mergeCell ref="C17:D17"/>
    <mergeCell ref="C9:D9"/>
    <mergeCell ref="C13:D13"/>
    <mergeCell ref="C21:D21"/>
    <mergeCell ref="C22:D22"/>
    <mergeCell ref="C23:D23"/>
    <mergeCell ref="B14:B16"/>
    <mergeCell ref="C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BEB8-D543-420F-9986-E5674DCB9F10}">
  <sheetPr>
    <tabColor theme="5"/>
  </sheetPr>
  <dimension ref="B1:S133"/>
  <sheetViews>
    <sheetView tabSelected="1" topLeftCell="A20" workbookViewId="0">
      <selection activeCell="O34" sqref="O34"/>
    </sheetView>
  </sheetViews>
  <sheetFormatPr defaultRowHeight="14.5" x14ac:dyDescent="0.35"/>
  <cols>
    <col min="2" max="2" width="25.453125" bestFit="1" customWidth="1"/>
    <col min="3" max="3" width="10.1796875" customWidth="1"/>
    <col min="4" max="4" width="3.81640625" customWidth="1"/>
    <col min="7" max="7" width="11.81640625" bestFit="1" customWidth="1"/>
    <col min="16" max="16" width="19.7265625" customWidth="1"/>
    <col min="17" max="17" width="14.26953125" bestFit="1" customWidth="1"/>
    <col min="18" max="18" width="1.26953125" customWidth="1"/>
  </cols>
  <sheetData>
    <row r="1" spans="2:12" x14ac:dyDescent="0.35">
      <c r="C1" s="220"/>
    </row>
    <row r="2" spans="2:12" x14ac:dyDescent="0.35">
      <c r="B2" s="219" t="s">
        <v>61</v>
      </c>
      <c r="C2" s="221">
        <v>21</v>
      </c>
      <c r="F2" s="83"/>
    </row>
    <row r="3" spans="2:12" x14ac:dyDescent="0.35">
      <c r="B3" s="219" t="s">
        <v>62</v>
      </c>
      <c r="C3" s="221">
        <v>10</v>
      </c>
    </row>
    <row r="4" spans="2:12" x14ac:dyDescent="0.35">
      <c r="B4" s="219" t="s">
        <v>63</v>
      </c>
      <c r="C4" s="221">
        <v>2</v>
      </c>
    </row>
    <row r="5" spans="2:12" x14ac:dyDescent="0.35">
      <c r="B5" s="219" t="s">
        <v>15</v>
      </c>
      <c r="C5" s="221">
        <v>10</v>
      </c>
      <c r="F5" s="222"/>
    </row>
    <row r="6" spans="2:12" x14ac:dyDescent="0.35">
      <c r="B6" s="219" t="s">
        <v>5</v>
      </c>
      <c r="C6" s="92">
        <v>100</v>
      </c>
      <c r="F6" s="222"/>
    </row>
    <row r="7" spans="2:12" x14ac:dyDescent="0.35">
      <c r="B7" s="219" t="s">
        <v>64</v>
      </c>
      <c r="C7" s="314">
        <v>20000</v>
      </c>
      <c r="F7" s="222"/>
    </row>
    <row r="8" spans="2:12" x14ac:dyDescent="0.35">
      <c r="E8" s="358" t="s">
        <v>65</v>
      </c>
      <c r="F8" s="359"/>
      <c r="G8" s="359"/>
      <c r="H8" s="359"/>
      <c r="I8" s="359"/>
      <c r="J8" s="359"/>
      <c r="K8" s="359"/>
      <c r="L8" s="359"/>
    </row>
    <row r="9" spans="2:12" x14ac:dyDescent="0.35">
      <c r="B9" s="223" t="s">
        <v>66</v>
      </c>
      <c r="C9" s="84">
        <f>IF(IA__jaar&gt;MTTF__jaar-(2*St_def.__jaar),C32-IA__jaar,MTTF__jaar-IA__jaar)</f>
        <v>1.5957691216057306</v>
      </c>
      <c r="E9" s="224" t="s">
        <v>67</v>
      </c>
    </row>
    <row r="10" spans="2:12" x14ac:dyDescent="0.35">
      <c r="B10" s="219" t="s">
        <v>68</v>
      </c>
      <c r="C10" s="84" t="str">
        <f>IF(C9&gt;C2,"geen",IF(C9=C2,"halve",IF(C2-C9&gt;=C3,"1,5ofmeer","één")))</f>
        <v>1,5ofmeer</v>
      </c>
      <c r="E10" s="224" t="s">
        <v>69</v>
      </c>
    </row>
    <row r="11" spans="2:12" x14ac:dyDescent="0.35">
      <c r="B11" s="219" t="s">
        <v>70</v>
      </c>
      <c r="C11" s="84">
        <f>TRUNC((C2-C9)/C3)+IF(C9&lt;=C2,1,0)</f>
        <v>2</v>
      </c>
      <c r="E11" s="224" t="s">
        <v>71</v>
      </c>
    </row>
    <row r="12" spans="2:12" x14ac:dyDescent="0.35">
      <c r="B12" s="219" t="s">
        <v>72</v>
      </c>
      <c r="C12" s="84">
        <f>IF(C11=0,0,MOD(C2-C9,C3))</f>
        <v>9.4042308783942694</v>
      </c>
      <c r="E12" s="224" t="s">
        <v>73</v>
      </c>
    </row>
    <row r="13" spans="2:12" x14ac:dyDescent="0.35">
      <c r="B13" s="3"/>
    </row>
    <row r="14" spans="2:12" ht="15" thickBot="1" x14ac:dyDescent="0.4">
      <c r="B14" s="225" t="s">
        <v>74</v>
      </c>
      <c r="C14" s="226">
        <f>SUM(C15:C16)</f>
        <v>0</v>
      </c>
      <c r="E14" s="224"/>
    </row>
    <row r="15" spans="2:12" ht="15" thickTop="1" x14ac:dyDescent="0.35">
      <c r="B15" s="219" t="s">
        <v>75</v>
      </c>
      <c r="C15" s="227" t="str">
        <f>IF(C11&lt;2,(_xlfn.NORM.DIST(C5+C2,C3,C4,TRUE)-_xlfn.NORM.DIST(C5,C3,C4,TRUE))/(1-_xlfn.NORM.DIST(C5,C3,C4,TRUE)),"nvt")</f>
        <v>nvt</v>
      </c>
      <c r="E15" s="224"/>
      <c r="G15" s="228"/>
    </row>
    <row r="16" spans="2:12" x14ac:dyDescent="0.35">
      <c r="B16" s="219" t="s">
        <v>76</v>
      </c>
      <c r="C16" s="229" t="str">
        <f>IF(C11&lt;2,IF(C12=0,0,_xlfn.NORM.DIST(C12,C3,C4,TRUE)),"nvt")</f>
        <v>nvt</v>
      </c>
      <c r="G16" s="228"/>
    </row>
    <row r="17" spans="2:17" x14ac:dyDescent="0.35">
      <c r="G17" s="228"/>
      <c r="J17" s="83" t="s">
        <v>77</v>
      </c>
    </row>
    <row r="18" spans="2:17" ht="15" thickBot="1" x14ac:dyDescent="0.4">
      <c r="B18" s="225" t="s">
        <v>78</v>
      </c>
      <c r="C18" s="226">
        <f>SUM(C19:C21)</f>
        <v>2.3828943486093772</v>
      </c>
      <c r="E18" s="224"/>
      <c r="G18" s="228"/>
      <c r="J18" t="s">
        <v>79</v>
      </c>
    </row>
    <row r="19" spans="2:17" ht="15" thickTop="1" x14ac:dyDescent="0.35">
      <c r="B19" s="219" t="s">
        <v>80</v>
      </c>
      <c r="C19" s="227">
        <f>IF(C11&gt;=2,C11-1,"nvt")</f>
        <v>1</v>
      </c>
      <c r="E19" s="222"/>
      <c r="G19" s="228"/>
      <c r="J19" t="s">
        <v>81</v>
      </c>
    </row>
    <row r="20" spans="2:17" x14ac:dyDescent="0.35">
      <c r="B20" s="219" t="s">
        <v>82</v>
      </c>
      <c r="C20" s="229">
        <f>IF(C11&gt;=2,_xlfn.NORM.DIST(C3+C12,C3,C4,TRUE),"nvt")</f>
        <v>0.99999871260074746</v>
      </c>
      <c r="E20" s="224" t="s">
        <v>83</v>
      </c>
      <c r="G20" s="228"/>
      <c r="J20" s="126" t="s">
        <v>84</v>
      </c>
    </row>
    <row r="21" spans="2:17" x14ac:dyDescent="0.35">
      <c r="B21" s="219" t="s">
        <v>76</v>
      </c>
      <c r="C21" s="229">
        <f>IF(C11&gt;=2,IF(C12=0,0,_xlfn.NORM.DIST(C12,C3,C4,TRUE)),"nvt")</f>
        <v>0.38289563600862991</v>
      </c>
      <c r="G21" s="228"/>
      <c r="J21" s="255" t="s">
        <v>85</v>
      </c>
    </row>
    <row r="22" spans="2:17" x14ac:dyDescent="0.35">
      <c r="J22" s="224" t="s">
        <v>86</v>
      </c>
    </row>
    <row r="23" spans="2:17" ht="15" thickBot="1" x14ac:dyDescent="0.4">
      <c r="B23" s="315" t="s">
        <v>87</v>
      </c>
      <c r="J23" s="222" t="s">
        <v>88</v>
      </c>
    </row>
    <row r="24" spans="2:17" x14ac:dyDescent="0.35">
      <c r="B24" s="316" t="s">
        <v>89</v>
      </c>
      <c r="C24" s="320">
        <f>IF(C11&lt;2,C14,C18)</f>
        <v>2.3828943486093772</v>
      </c>
    </row>
    <row r="25" spans="2:17" ht="15" thickBot="1" x14ac:dyDescent="0.4">
      <c r="B25" s="317" t="s">
        <v>59</v>
      </c>
      <c r="C25" s="323">
        <f>C24/C2</f>
        <v>0.11347115945758939</v>
      </c>
    </row>
    <row r="26" spans="2:17" x14ac:dyDescent="0.35">
      <c r="B26" s="321" t="s">
        <v>90</v>
      </c>
      <c r="C26" s="322">
        <f>C24*C6</f>
        <v>238.28943486093772</v>
      </c>
    </row>
    <row r="27" spans="2:17" ht="15" thickBot="1" x14ac:dyDescent="0.4">
      <c r="B27" s="317" t="s">
        <v>91</v>
      </c>
      <c r="C27" s="318">
        <f>C24*C7</f>
        <v>47657.886972187545</v>
      </c>
    </row>
    <row r="28" spans="2:17" x14ac:dyDescent="0.35">
      <c r="B28" s="81"/>
      <c r="C28" s="319"/>
      <c r="Q28" s="130"/>
    </row>
    <row r="29" spans="2:17" x14ac:dyDescent="0.35">
      <c r="C29" s="2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</row>
    <row r="30" spans="2:17" x14ac:dyDescent="0.35">
      <c r="B30" s="83" t="s">
        <v>92</v>
      </c>
      <c r="H30" s="130"/>
      <c r="I30" s="130"/>
      <c r="J30" s="130"/>
      <c r="K30" s="130"/>
      <c r="L30" s="130"/>
      <c r="M30" s="130"/>
      <c r="N30" s="130"/>
      <c r="O30" s="130"/>
      <c r="P30" s="130"/>
    </row>
    <row r="31" spans="2:17" x14ac:dyDescent="0.35">
      <c r="B31" t="s">
        <v>93</v>
      </c>
      <c r="C31" s="84">
        <f>(C5-C3)/C4</f>
        <v>0</v>
      </c>
    </row>
    <row r="32" spans="2:17" x14ac:dyDescent="0.35">
      <c r="B32" t="s">
        <v>94</v>
      </c>
      <c r="C32" s="84">
        <f>IFERROR(C3+C4*(_xlfn.NORM.DIST(C31,0,1,FALSE)/(1-_xlfn.NORM.DIST(C31,0,1,TRUE))),C5)</f>
        <v>11.595769121605731</v>
      </c>
      <c r="E32" s="224" t="s">
        <v>95</v>
      </c>
    </row>
    <row r="33" spans="2:19" x14ac:dyDescent="0.35">
      <c r="E33" s="358" t="s">
        <v>96</v>
      </c>
      <c r="F33" s="359"/>
      <c r="G33" s="359"/>
      <c r="H33" s="359"/>
      <c r="I33" s="359"/>
      <c r="J33" s="359"/>
      <c r="K33" s="359"/>
      <c r="L33" s="359"/>
      <c r="M33" s="359"/>
      <c r="N33" s="359"/>
      <c r="O33" s="355" t="s">
        <v>93</v>
      </c>
      <c r="P33" s="356" t="b">
        <v>0</v>
      </c>
      <c r="Q33" s="356" t="b">
        <v>1</v>
      </c>
    </row>
    <row r="34" spans="2:19" x14ac:dyDescent="0.35">
      <c r="E34" s="358" t="s">
        <v>97</v>
      </c>
      <c r="F34" s="359"/>
      <c r="G34" s="359"/>
      <c r="H34" s="359"/>
      <c r="I34" s="359"/>
      <c r="J34" s="359"/>
      <c r="K34" s="359"/>
      <c r="L34" s="359"/>
      <c r="M34" s="359"/>
      <c r="N34" s="359"/>
      <c r="O34">
        <v>6.5000000000000098</v>
      </c>
      <c r="P34">
        <f>_xlfn.NORM.DIST(O34,0,1,FALSE)</f>
        <v>2.6695566147626813E-10</v>
      </c>
      <c r="Q34">
        <f>_xlfn.NORM.DIST(O34,0,1,TRUE)</f>
        <v>0.99999999995984001</v>
      </c>
      <c r="S34">
        <f>$C$3+$C$4*(P34/(1-Q34))</f>
        <v>23.294609141638801</v>
      </c>
    </row>
    <row r="35" spans="2:19" x14ac:dyDescent="0.35">
      <c r="O35">
        <v>6.4000000000000101</v>
      </c>
      <c r="P35">
        <f>_xlfn.NORM.DIST(O35,0,1,FALSE)</f>
        <v>5.0881402816447307E-10</v>
      </c>
      <c r="Q35">
        <f>_xlfn.NORM.DIST(O35,0,1,TRUE)</f>
        <v>0.99999999992231148</v>
      </c>
      <c r="S35">
        <f>$C$3+$C$4*(P35/(1-Q35))</f>
        <v>23.098821118460734</v>
      </c>
    </row>
    <row r="36" spans="2:19" x14ac:dyDescent="0.35">
      <c r="O36">
        <v>6.3000000000000096</v>
      </c>
      <c r="P36">
        <f>_xlfn.NORM.DIST(O36,0,1,FALSE)</f>
        <v>9.6014333703117552E-10</v>
      </c>
      <c r="Q36">
        <f>_xlfn.NORM.DIST(O36,0,1,TRUE)</f>
        <v>0.99999999985117716</v>
      </c>
      <c r="S36">
        <f>$C$3+$C$4*(P36/(1-Q36))</f>
        <v>22.903171557216922</v>
      </c>
    </row>
    <row r="37" spans="2:19" x14ac:dyDescent="0.35">
      <c r="B37" t="s">
        <v>98</v>
      </c>
      <c r="O37">
        <v>6.2000000000000099</v>
      </c>
      <c r="P37">
        <f>_xlfn.NORM.DIST(O37,0,1,FALSE)</f>
        <v>1.7937839079639713E-9</v>
      </c>
      <c r="Q37">
        <f>_xlfn.NORM.DIST(O37,0,1,TRUE)</f>
        <v>0.99999999971768416</v>
      </c>
      <c r="S37">
        <f>$C$3+$C$4*(P37/(1-Q37))</f>
        <v>22.707639250045297</v>
      </c>
    </row>
    <row r="38" spans="2:19" x14ac:dyDescent="0.35">
      <c r="B38" s="250" t="s">
        <v>99</v>
      </c>
      <c r="I38" s="224" t="s">
        <v>100</v>
      </c>
      <c r="O38">
        <v>6.1000000000000103</v>
      </c>
      <c r="P38">
        <f>_xlfn.NORM.DIST(O38,0,1,FALSE)</f>
        <v>3.3178842435470812E-9</v>
      </c>
      <c r="Q38">
        <f>_xlfn.NORM.DIST(O38,0,1,TRUE)</f>
        <v>0.99999999946965767</v>
      </c>
      <c r="S38">
        <f>$C$3+$C$4*(P38/(1-Q38))</f>
        <v>22.512236279558831</v>
      </c>
    </row>
    <row r="39" spans="2:19" x14ac:dyDescent="0.35">
      <c r="I39" s="224" t="s">
        <v>101</v>
      </c>
      <c r="O39">
        <v>6.0000000000000098</v>
      </c>
      <c r="P39">
        <f t="shared" ref="P39:P102" si="0">_xlfn.NORM.DIST(O39,0,1,FALSE)</f>
        <v>6.0758828498229403E-9</v>
      </c>
      <c r="Q39">
        <f t="shared" ref="Q39:Q102" si="1">_xlfn.NORM.DIST(O39,0,1,TRUE)</f>
        <v>0.9999999990134123</v>
      </c>
      <c r="S39">
        <f t="shared" ref="S39:S102" si="2">$C$3+$C$4*(P39/(1-Q39))</f>
        <v>22.316964517617222</v>
      </c>
    </row>
    <row r="40" spans="2:19" x14ac:dyDescent="0.35">
      <c r="O40">
        <v>5.9000000000000101</v>
      </c>
      <c r="P40">
        <f t="shared" si="0"/>
        <v>1.1015763624681683E-8</v>
      </c>
      <c r="Q40">
        <f t="shared" si="1"/>
        <v>0.99999999818249219</v>
      </c>
      <c r="S40">
        <f t="shared" si="2"/>
        <v>22.121833599283079</v>
      </c>
    </row>
    <row r="41" spans="2:19" x14ac:dyDescent="0.35">
      <c r="O41">
        <v>5.8000000000000096</v>
      </c>
      <c r="P41">
        <f t="shared" si="0"/>
        <v>1.9773196406243547E-8</v>
      </c>
      <c r="Q41">
        <f t="shared" si="1"/>
        <v>0.99999999668425399</v>
      </c>
      <c r="S41">
        <f t="shared" si="2"/>
        <v>21.926846230145109</v>
      </c>
    </row>
    <row r="42" spans="2:19" x14ac:dyDescent="0.35">
      <c r="O42">
        <v>5.7000000000000099</v>
      </c>
      <c r="P42">
        <f t="shared" si="0"/>
        <v>3.5139550948202342E-8</v>
      </c>
      <c r="Q42">
        <f t="shared" si="1"/>
        <v>0.99999999400962858</v>
      </c>
      <c r="S42">
        <f t="shared" si="2"/>
        <v>21.732010747870888</v>
      </c>
    </row>
    <row r="43" spans="2:19" x14ac:dyDescent="0.35">
      <c r="O43">
        <v>5.6000000000000103</v>
      </c>
      <c r="P43">
        <f t="shared" si="0"/>
        <v>6.1826205001654827E-8</v>
      </c>
      <c r="Q43">
        <f t="shared" si="1"/>
        <v>0.99999998928240974</v>
      </c>
      <c r="S43">
        <f t="shared" si="2"/>
        <v>21.537333207073061</v>
      </c>
    </row>
    <row r="44" spans="2:19" x14ac:dyDescent="0.35">
      <c r="O44">
        <v>5.5000000000000098</v>
      </c>
      <c r="P44">
        <f t="shared" si="0"/>
        <v>1.0769760042542703E-7</v>
      </c>
      <c r="Q44">
        <f t="shared" si="1"/>
        <v>0.99999998101043752</v>
      </c>
      <c r="S44">
        <f t="shared" si="2"/>
        <v>21.342820620539161</v>
      </c>
    </row>
    <row r="45" spans="2:19" x14ac:dyDescent="0.35">
      <c r="O45">
        <v>5.4000000000000101</v>
      </c>
      <c r="P45">
        <f t="shared" si="0"/>
        <v>1.8573618445551907E-7</v>
      </c>
      <c r="Q45">
        <f t="shared" si="1"/>
        <v>0.99999996667955149</v>
      </c>
      <c r="S45">
        <f t="shared" si="2"/>
        <v>21.148480452877109</v>
      </c>
    </row>
    <row r="46" spans="2:19" x14ac:dyDescent="0.35">
      <c r="O46">
        <v>5.3000000000000096</v>
      </c>
      <c r="P46">
        <f t="shared" si="0"/>
        <v>3.1713492167158123E-7</v>
      </c>
      <c r="Q46">
        <f t="shared" si="1"/>
        <v>0.99999994209865961</v>
      </c>
      <c r="S46">
        <f t="shared" si="2"/>
        <v>20.954320557733261</v>
      </c>
    </row>
    <row r="47" spans="2:19" x14ac:dyDescent="0.35">
      <c r="O47">
        <v>5.2</v>
      </c>
      <c r="P47">
        <f t="shared" si="0"/>
        <v>5.3610353446976145E-7</v>
      </c>
      <c r="Q47">
        <f t="shared" si="1"/>
        <v>0.99999990035573683</v>
      </c>
      <c r="S47">
        <f t="shared" si="2"/>
        <v>20.760349214157003</v>
      </c>
    </row>
    <row r="48" spans="2:19" x14ac:dyDescent="0.35">
      <c r="O48">
        <v>5.0999999999999996</v>
      </c>
      <c r="P48">
        <f t="shared" si="0"/>
        <v>8.9724351623833374E-7</v>
      </c>
      <c r="Q48">
        <f t="shared" si="1"/>
        <v>0.99999983017325933</v>
      </c>
      <c r="S48">
        <f t="shared" si="2"/>
        <v>20.566575236588875</v>
      </c>
    </row>
    <row r="49" spans="2:19" x14ac:dyDescent="0.35">
      <c r="B49" t="s">
        <v>102</v>
      </c>
      <c r="O49">
        <v>5</v>
      </c>
      <c r="P49">
        <f t="shared" si="0"/>
        <v>1.4867195147342977E-6</v>
      </c>
      <c r="Q49">
        <f t="shared" si="1"/>
        <v>0.99999971334842808</v>
      </c>
      <c r="S49">
        <f t="shared" si="2"/>
        <v>20.373007932647113</v>
      </c>
    </row>
    <row r="50" spans="2:19" x14ac:dyDescent="0.35">
      <c r="O50">
        <v>4.9000000000000004</v>
      </c>
      <c r="P50">
        <f t="shared" si="0"/>
        <v>2.4389607458933522E-6</v>
      </c>
      <c r="Q50">
        <f t="shared" si="1"/>
        <v>0.99999952081672339</v>
      </c>
      <c r="S50">
        <f t="shared" si="2"/>
        <v>20.179657199761326</v>
      </c>
    </row>
    <row r="51" spans="2:19" x14ac:dyDescent="0.35">
      <c r="O51">
        <v>4.8</v>
      </c>
      <c r="P51">
        <f t="shared" si="0"/>
        <v>3.9612990910320753E-6</v>
      </c>
      <c r="Q51">
        <f t="shared" si="1"/>
        <v>0.99999920667184805</v>
      </c>
      <c r="S51">
        <f t="shared" si="2"/>
        <v>19.986533520335168</v>
      </c>
    </row>
    <row r="52" spans="2:19" x14ac:dyDescent="0.35">
      <c r="O52">
        <v>4.7</v>
      </c>
      <c r="P52">
        <f t="shared" si="0"/>
        <v>6.3698251788670899E-6</v>
      </c>
      <c r="Q52">
        <f t="shared" si="1"/>
        <v>0.99999869919254614</v>
      </c>
      <c r="S52">
        <f t="shared" si="2"/>
        <v>19.793648029842799</v>
      </c>
    </row>
    <row r="53" spans="2:19" x14ac:dyDescent="0.35">
      <c r="O53">
        <v>4.5999999999999996</v>
      </c>
      <c r="P53">
        <f t="shared" si="0"/>
        <v>1.0140852065486758E-5</v>
      </c>
      <c r="Q53">
        <f t="shared" si="1"/>
        <v>0.9999978875452975</v>
      </c>
      <c r="S53">
        <f t="shared" si="2"/>
        <v>19.601012559940436</v>
      </c>
    </row>
    <row r="54" spans="2:19" x14ac:dyDescent="0.35">
      <c r="O54">
        <v>4.5</v>
      </c>
      <c r="P54">
        <f t="shared" si="0"/>
        <v>1.5983741106905475E-5</v>
      </c>
      <c r="Q54">
        <f t="shared" si="1"/>
        <v>0.99999660232687526</v>
      </c>
      <c r="S54">
        <f t="shared" si="2"/>
        <v>19.408639689631514</v>
      </c>
    </row>
    <row r="55" spans="2:19" x14ac:dyDescent="0.35">
      <c r="O55">
        <v>4.4000000000000004</v>
      </c>
      <c r="P55">
        <f t="shared" si="0"/>
        <v>2.4942471290053535E-5</v>
      </c>
      <c r="Q55">
        <f t="shared" si="1"/>
        <v>0.99999458745609227</v>
      </c>
      <c r="S55">
        <f t="shared" si="2"/>
        <v>19.216542799555082</v>
      </c>
    </row>
    <row r="56" spans="2:19" x14ac:dyDescent="0.35">
      <c r="O56">
        <v>4.3</v>
      </c>
      <c r="P56">
        <f t="shared" si="0"/>
        <v>3.8535196742087129E-5</v>
      </c>
      <c r="Q56">
        <f t="shared" si="1"/>
        <v>0.99999146009452899</v>
      </c>
      <c r="S56">
        <f t="shared" si="2"/>
        <v>19.024736133888275</v>
      </c>
    </row>
    <row r="57" spans="2:19" x14ac:dyDescent="0.35">
      <c r="O57">
        <v>4.2</v>
      </c>
      <c r="P57">
        <f t="shared" si="0"/>
        <v>5.8943067756539855E-5</v>
      </c>
      <c r="Q57">
        <f t="shared" si="1"/>
        <v>0.9999866542509841</v>
      </c>
      <c r="S57">
        <f t="shared" si="2"/>
        <v>18.833234865469638</v>
      </c>
    </row>
    <row r="58" spans="2:19" x14ac:dyDescent="0.35">
      <c r="O58">
        <v>4.0999999999999996</v>
      </c>
      <c r="P58">
        <f t="shared" si="0"/>
        <v>8.9261657177132928E-5</v>
      </c>
      <c r="Q58">
        <f t="shared" si="1"/>
        <v>0.99997934249308751</v>
      </c>
      <c r="S58">
        <f t="shared" si="2"/>
        <v>18.642055167185443</v>
      </c>
    </row>
    <row r="59" spans="2:19" x14ac:dyDescent="0.35">
      <c r="O59">
        <v>4</v>
      </c>
      <c r="P59">
        <f t="shared" si="0"/>
        <v>1.3383022576488537E-4</v>
      </c>
      <c r="Q59">
        <f t="shared" si="1"/>
        <v>0.99996832875816688</v>
      </c>
      <c r="S59">
        <f t="shared" si="2"/>
        <v>18.451214288978928</v>
      </c>
    </row>
    <row r="60" spans="2:19" x14ac:dyDescent="0.35">
      <c r="O60">
        <v>3.9</v>
      </c>
      <c r="P60">
        <f t="shared" si="0"/>
        <v>1.9865547139277272E-4</v>
      </c>
      <c r="Q60">
        <f t="shared" si="1"/>
        <v>0.99995190365598241</v>
      </c>
      <c r="S60">
        <f t="shared" si="2"/>
        <v>18.260730641818469</v>
      </c>
    </row>
    <row r="61" spans="2:19" x14ac:dyDescent="0.35">
      <c r="O61">
        <v>3.8</v>
      </c>
      <c r="P61">
        <f t="shared" si="0"/>
        <v>2.9194692579146027E-4</v>
      </c>
      <c r="Q61">
        <f t="shared" si="1"/>
        <v>0.99992765195607491</v>
      </c>
      <c r="S61">
        <f t="shared" si="2"/>
        <v>18.070623888429189</v>
      </c>
    </row>
    <row r="62" spans="2:19" x14ac:dyDescent="0.35">
      <c r="O62">
        <v>3.7</v>
      </c>
      <c r="P62">
        <f t="shared" si="0"/>
        <v>4.2478027055075143E-4</v>
      </c>
      <c r="Q62">
        <f t="shared" si="1"/>
        <v>0.99989220026652259</v>
      </c>
      <c r="S62">
        <f t="shared" si="2"/>
        <v>17.88091504214653</v>
      </c>
    </row>
    <row r="63" spans="2:19" x14ac:dyDescent="0.35">
      <c r="O63">
        <v>3.6</v>
      </c>
      <c r="P63">
        <f t="shared" si="0"/>
        <v>6.119019301137719E-4</v>
      </c>
      <c r="Q63">
        <f t="shared" si="1"/>
        <v>0.99984089140984245</v>
      </c>
      <c r="S63">
        <f t="shared" si="2"/>
        <v>17.691626574125923</v>
      </c>
    </row>
    <row r="64" spans="2:19" x14ac:dyDescent="0.35">
      <c r="O64">
        <v>3.5</v>
      </c>
      <c r="P64">
        <f t="shared" si="0"/>
        <v>8.7268269504576015E-4</v>
      </c>
      <c r="Q64">
        <f t="shared" si="1"/>
        <v>0.99976737092096446</v>
      </c>
      <c r="S64">
        <f t="shared" si="2"/>
        <v>17.502782529714914</v>
      </c>
    </row>
    <row r="65" spans="15:19" x14ac:dyDescent="0.35">
      <c r="O65">
        <v>3.4</v>
      </c>
      <c r="P65">
        <f t="shared" si="0"/>
        <v>1.2322191684730199E-3</v>
      </c>
      <c r="Q65">
        <f t="shared" si="1"/>
        <v>0.99966307073432314</v>
      </c>
      <c r="S65">
        <f t="shared" si="2"/>
        <v>17.314408654870761</v>
      </c>
    </row>
    <row r="66" spans="15:19" x14ac:dyDescent="0.35">
      <c r="O66">
        <v>3.3</v>
      </c>
      <c r="P66">
        <f t="shared" si="0"/>
        <v>1.7225689390536812E-3</v>
      </c>
      <c r="Q66">
        <f t="shared" si="1"/>
        <v>0.99951657585761622</v>
      </c>
      <c r="S66">
        <f t="shared" si="2"/>
        <v>17.126532533355213</v>
      </c>
    </row>
    <row r="67" spans="15:19" x14ac:dyDescent="0.35">
      <c r="O67">
        <v>3.2</v>
      </c>
      <c r="P67">
        <f t="shared" si="0"/>
        <v>2.3840882014648404E-3</v>
      </c>
      <c r="Q67">
        <f t="shared" si="1"/>
        <v>0.99931286206208414</v>
      </c>
      <c r="S67">
        <f t="shared" si="2"/>
        <v>16.939183735643979</v>
      </c>
    </row>
    <row r="68" spans="15:19" x14ac:dyDescent="0.35">
      <c r="O68">
        <v>3.1</v>
      </c>
      <c r="P68">
        <f t="shared" si="0"/>
        <v>3.2668190561999182E-3</v>
      </c>
      <c r="Q68">
        <f t="shared" si="1"/>
        <v>0.99903239678678168</v>
      </c>
      <c r="S68">
        <f t="shared" si="2"/>
        <v>16.752393980450421</v>
      </c>
    </row>
    <row r="69" spans="15:19" x14ac:dyDescent="0.35">
      <c r="O69">
        <v>3</v>
      </c>
      <c r="P69">
        <f t="shared" si="0"/>
        <v>4.4318484119380075E-3</v>
      </c>
      <c r="Q69">
        <f t="shared" si="1"/>
        <v>0.9986501019683699</v>
      </c>
      <c r="S69">
        <f t="shared" si="2"/>
        <v>16.566197309860829</v>
      </c>
    </row>
    <row r="70" spans="15:19" x14ac:dyDescent="0.35">
      <c r="O70">
        <v>2.9</v>
      </c>
      <c r="P70">
        <f t="shared" si="0"/>
        <v>5.9525324197758538E-3</v>
      </c>
      <c r="Q70">
        <f t="shared" si="1"/>
        <v>0.99813418669961596</v>
      </c>
      <c r="S70">
        <f t="shared" si="2"/>
        <v>16.380630279085942</v>
      </c>
    </row>
    <row r="71" spans="15:19" x14ac:dyDescent="0.35">
      <c r="O71">
        <v>2.8</v>
      </c>
      <c r="P71">
        <f t="shared" si="0"/>
        <v>7.9154515829799686E-3</v>
      </c>
      <c r="Q71">
        <f t="shared" si="1"/>
        <v>0.99744486966957202</v>
      </c>
      <c r="S71">
        <f t="shared" si="2"/>
        <v>16.195732161853478</v>
      </c>
    </row>
    <row r="72" spans="15:19" x14ac:dyDescent="0.35">
      <c r="O72">
        <v>2.7</v>
      </c>
      <c r="P72">
        <f t="shared" si="0"/>
        <v>1.0420934814422592E-2</v>
      </c>
      <c r="Q72">
        <f t="shared" si="1"/>
        <v>0.99653302619695938</v>
      </c>
      <c r="S72">
        <f t="shared" si="2"/>
        <v>16.011545172497804</v>
      </c>
    </row>
    <row r="73" spans="15:19" x14ac:dyDescent="0.35">
      <c r="O73">
        <v>2.6</v>
      </c>
      <c r="P73">
        <f t="shared" si="0"/>
        <v>1.3582969233685613E-2</v>
      </c>
      <c r="Q73">
        <f t="shared" si="1"/>
        <v>0.99533881197628127</v>
      </c>
      <c r="S73">
        <f t="shared" si="2"/>
        <v>15.828114705765083</v>
      </c>
    </row>
    <row r="74" spans="15:19" x14ac:dyDescent="0.35">
      <c r="O74">
        <v>2.5</v>
      </c>
      <c r="P74">
        <f t="shared" si="0"/>
        <v>1.752830049356854E-2</v>
      </c>
      <c r="Q74">
        <f t="shared" si="1"/>
        <v>0.99379033467422384</v>
      </c>
      <c r="S74">
        <f t="shared" si="2"/>
        <v>15.645489595327794</v>
      </c>
    </row>
    <row r="75" spans="15:19" x14ac:dyDescent="0.35">
      <c r="O75">
        <v>2.4</v>
      </c>
      <c r="P75">
        <f t="shared" si="0"/>
        <v>2.2394530294842899E-2</v>
      </c>
      <c r="Q75">
        <f t="shared" si="1"/>
        <v>0.99180246407540384</v>
      </c>
      <c r="S75">
        <f t="shared" si="2"/>
        <v>15.463722391907943</v>
      </c>
    </row>
    <row r="76" spans="15:19" x14ac:dyDescent="0.35">
      <c r="O76">
        <v>2.2999999999999998</v>
      </c>
      <c r="P76">
        <f t="shared" si="0"/>
        <v>2.8327037741601186E-2</v>
      </c>
      <c r="Q76">
        <f t="shared" si="1"/>
        <v>0.98927588997832416</v>
      </c>
      <c r="S76">
        <f t="shared" si="2"/>
        <v>15.282869661789347</v>
      </c>
    </row>
    <row r="77" spans="15:19" x14ac:dyDescent="0.35">
      <c r="O77">
        <v>2.2000000000000002</v>
      </c>
      <c r="P77">
        <f t="shared" si="0"/>
        <v>3.5474592846231424E-2</v>
      </c>
      <c r="Q77">
        <f t="shared" si="1"/>
        <v>0.98609655248650141</v>
      </c>
      <c r="S77">
        <f t="shared" si="2"/>
        <v>15.102992306302422</v>
      </c>
    </row>
    <row r="78" spans="15:19" x14ac:dyDescent="0.35">
      <c r="O78">
        <v>2.1</v>
      </c>
      <c r="P78">
        <f t="shared" si="0"/>
        <v>4.3983595980427191E-2</v>
      </c>
      <c r="Q78">
        <f t="shared" si="1"/>
        <v>0.98213557943718344</v>
      </c>
      <c r="S78">
        <f t="shared" si="2"/>
        <v>14.924155902596215</v>
      </c>
    </row>
    <row r="79" spans="15:19" x14ac:dyDescent="0.35">
      <c r="O79">
        <v>2</v>
      </c>
      <c r="P79">
        <f t="shared" si="0"/>
        <v>5.3990966513188063E-2</v>
      </c>
      <c r="Q79">
        <f t="shared" si="1"/>
        <v>0.97724986805182079</v>
      </c>
      <c r="S79">
        <f t="shared" si="2"/>
        <v>14.746431065645682</v>
      </c>
    </row>
    <row r="80" spans="15:19" x14ac:dyDescent="0.35">
      <c r="O80">
        <v>1.9</v>
      </c>
      <c r="P80">
        <f t="shared" si="0"/>
        <v>6.5615814774676595E-2</v>
      </c>
      <c r="Q80">
        <f t="shared" si="1"/>
        <v>0.97128344018399815</v>
      </c>
      <c r="S80">
        <f t="shared" si="2"/>
        <v>14.56989383095347</v>
      </c>
    </row>
    <row r="81" spans="15:19" x14ac:dyDescent="0.35">
      <c r="O81">
        <v>1.8</v>
      </c>
      <c r="P81">
        <f t="shared" si="0"/>
        <v>7.8950158300894149E-2</v>
      </c>
      <c r="Q81">
        <f t="shared" si="1"/>
        <v>0.96406968088707423</v>
      </c>
      <c r="S81">
        <f t="shared" si="2"/>
        <v>14.39462605677177</v>
      </c>
    </row>
    <row r="82" spans="15:19" x14ac:dyDescent="0.35">
      <c r="O82">
        <v>1.7</v>
      </c>
      <c r="P82">
        <f t="shared" si="0"/>
        <v>9.4049077376886947E-2</v>
      </c>
      <c r="Q82">
        <f t="shared" si="1"/>
        <v>0.95543453724145699</v>
      </c>
      <c r="S82">
        <f t="shared" si="2"/>
        <v>14.220715843856379</v>
      </c>
    </row>
    <row r="83" spans="15:19" x14ac:dyDescent="0.35">
      <c r="O83">
        <v>1.6</v>
      </c>
      <c r="P83">
        <f t="shared" si="0"/>
        <v>0.11092083467945554</v>
      </c>
      <c r="Q83">
        <f t="shared" si="1"/>
        <v>0.94520070830044201</v>
      </c>
      <c r="S83">
        <f t="shared" si="2"/>
        <v>14.048257969741249</v>
      </c>
    </row>
    <row r="84" spans="15:19" x14ac:dyDescent="0.35">
      <c r="O84">
        <v>1.5</v>
      </c>
      <c r="P84">
        <f t="shared" si="0"/>
        <v>0.12951759566589174</v>
      </c>
      <c r="Q84">
        <f t="shared" si="1"/>
        <v>0.93319279873114191</v>
      </c>
      <c r="S84">
        <f t="shared" si="2"/>
        <v>13.877354333245085</v>
      </c>
    </row>
    <row r="85" spans="15:19" x14ac:dyDescent="0.35">
      <c r="O85">
        <v>1.4</v>
      </c>
      <c r="P85">
        <f t="shared" si="0"/>
        <v>0.14972746563574488</v>
      </c>
      <c r="Q85">
        <f t="shared" si="1"/>
        <v>0.91924334076622893</v>
      </c>
      <c r="S85">
        <f t="shared" si="2"/>
        <v>13.708114403353907</v>
      </c>
    </row>
    <row r="86" spans="15:19" x14ac:dyDescent="0.35">
      <c r="O86">
        <v>1.3</v>
      </c>
      <c r="P86">
        <f t="shared" si="0"/>
        <v>0.17136859204780736</v>
      </c>
      <c r="Q86">
        <f t="shared" si="1"/>
        <v>0.9031995154143897</v>
      </c>
      <c r="S86">
        <f t="shared" si="2"/>
        <v>13.540655664719303</v>
      </c>
    </row>
    <row r="87" spans="15:19" x14ac:dyDescent="0.35">
      <c r="O87">
        <v>1.2</v>
      </c>
      <c r="P87">
        <f t="shared" si="0"/>
        <v>0.19418605498321295</v>
      </c>
      <c r="Q87">
        <f t="shared" si="1"/>
        <v>0.88493032977829178</v>
      </c>
      <c r="S87">
        <f t="shared" si="2"/>
        <v>13.375104049730373</v>
      </c>
    </row>
    <row r="88" spans="15:19" x14ac:dyDescent="0.35">
      <c r="O88">
        <v>1.1000000000000001</v>
      </c>
      <c r="P88">
        <f t="shared" si="0"/>
        <v>0.21785217703255053</v>
      </c>
      <c r="Q88">
        <f t="shared" si="1"/>
        <v>0.86433393905361733</v>
      </c>
      <c r="S88">
        <f t="shared" si="2"/>
        <v>13.211594344419701</v>
      </c>
    </row>
    <row r="89" spans="15:19" x14ac:dyDescent="0.35">
      <c r="O89">
        <v>1</v>
      </c>
      <c r="P89">
        <f t="shared" si="0"/>
        <v>0.24197072451914337</v>
      </c>
      <c r="Q89">
        <f t="shared" si="1"/>
        <v>0.84134474606854304</v>
      </c>
      <c r="S89">
        <f t="shared" si="2"/>
        <v>13.050270552321965</v>
      </c>
    </row>
    <row r="90" spans="15:19" x14ac:dyDescent="0.35">
      <c r="O90">
        <v>0.9</v>
      </c>
      <c r="P90">
        <f t="shared" si="0"/>
        <v>0.26608524989875482</v>
      </c>
      <c r="Q90">
        <f t="shared" si="1"/>
        <v>0.81593987465324047</v>
      </c>
      <c r="S90">
        <f t="shared" si="2"/>
        <v>12.891286196806226</v>
      </c>
    </row>
    <row r="91" spans="15:19" x14ac:dyDescent="0.35">
      <c r="O91">
        <v>0.8</v>
      </c>
      <c r="P91">
        <f t="shared" si="0"/>
        <v>0.28969155276148273</v>
      </c>
      <c r="Q91">
        <f t="shared" si="1"/>
        <v>0.78814460141660336</v>
      </c>
      <c r="S91">
        <f t="shared" si="2"/>
        <v>12.734804538364841</v>
      </c>
    </row>
    <row r="92" spans="15:19" x14ac:dyDescent="0.35">
      <c r="O92">
        <v>0.7</v>
      </c>
      <c r="P92">
        <f t="shared" si="0"/>
        <v>0.31225393336676127</v>
      </c>
      <c r="Q92">
        <f t="shared" si="1"/>
        <v>0.75803634777692697</v>
      </c>
      <c r="S92">
        <f t="shared" si="2"/>
        <v>12.580998678916334</v>
      </c>
    </row>
    <row r="93" spans="15:19" x14ac:dyDescent="0.35">
      <c r="O93">
        <v>0.6</v>
      </c>
      <c r="P93">
        <f t="shared" si="0"/>
        <v>0.33322460289179967</v>
      </c>
      <c r="Q93">
        <f t="shared" si="1"/>
        <v>0.72574688224992645</v>
      </c>
      <c r="S93">
        <f t="shared" si="2"/>
        <v>12.430051520475088</v>
      </c>
    </row>
    <row r="94" spans="15:19" x14ac:dyDescent="0.35">
      <c r="O94">
        <v>0.5</v>
      </c>
      <c r="P94">
        <f t="shared" si="0"/>
        <v>0.35206532676429952</v>
      </c>
      <c r="Q94">
        <f t="shared" si="1"/>
        <v>0.69146246127401312</v>
      </c>
      <c r="S94">
        <f t="shared" si="2"/>
        <v>12.282155540736129</v>
      </c>
    </row>
    <row r="95" spans="15:19" x14ac:dyDescent="0.35">
      <c r="O95">
        <v>0.4</v>
      </c>
      <c r="P95">
        <f t="shared" si="0"/>
        <v>0.36827014030332333</v>
      </c>
      <c r="Q95">
        <f t="shared" si="1"/>
        <v>0.65542174161032429</v>
      </c>
      <c r="S95">
        <f t="shared" si="2"/>
        <v>12.137512343491242</v>
      </c>
    </row>
    <row r="96" spans="15:19" x14ac:dyDescent="0.35">
      <c r="O96">
        <v>0.3</v>
      </c>
      <c r="P96">
        <f t="shared" si="0"/>
        <v>0.38138781546052414</v>
      </c>
      <c r="Q96">
        <f t="shared" si="1"/>
        <v>0.61791142218895267</v>
      </c>
      <c r="S96">
        <f t="shared" si="2"/>
        <v>11.996331937716967</v>
      </c>
    </row>
    <row r="97" spans="15:19" x14ac:dyDescent="0.35">
      <c r="O97">
        <v>0.2</v>
      </c>
      <c r="P97">
        <f t="shared" si="0"/>
        <v>0.39104269397545588</v>
      </c>
      <c r="Q97">
        <f t="shared" si="1"/>
        <v>0.57925970943910299</v>
      </c>
      <c r="S97">
        <f t="shared" si="2"/>
        <v>11.858831696171286</v>
      </c>
    </row>
    <row r="98" spans="15:19" x14ac:dyDescent="0.35">
      <c r="O98">
        <v>0.1</v>
      </c>
      <c r="P98">
        <f t="shared" si="0"/>
        <v>0.39695254747701181</v>
      </c>
      <c r="Q98">
        <f t="shared" si="1"/>
        <v>0.53982783727702899</v>
      </c>
      <c r="S98">
        <f t="shared" si="2"/>
        <v>11.725234943061873</v>
      </c>
    </row>
    <row r="99" spans="15:19" x14ac:dyDescent="0.35">
      <c r="O99">
        <v>0</v>
      </c>
      <c r="P99">
        <f t="shared" si="0"/>
        <v>0.3989422804014327</v>
      </c>
      <c r="Q99">
        <f t="shared" si="1"/>
        <v>0.5</v>
      </c>
      <c r="S99">
        <f t="shared" si="2"/>
        <v>11.595769121605731</v>
      </c>
    </row>
    <row r="100" spans="15:19" x14ac:dyDescent="0.35">
      <c r="O100">
        <v>-0.1</v>
      </c>
      <c r="P100">
        <f t="shared" si="0"/>
        <v>0.39695254747701181</v>
      </c>
      <c r="Q100">
        <f t="shared" si="1"/>
        <v>0.46017216272297101</v>
      </c>
      <c r="S100">
        <f t="shared" si="2"/>
        <v>11.470663497011561</v>
      </c>
    </row>
    <row r="101" spans="15:19" x14ac:dyDescent="0.35">
      <c r="O101">
        <v>-0.2</v>
      </c>
      <c r="P101">
        <f t="shared" si="0"/>
        <v>0.39104269397545588</v>
      </c>
      <c r="Q101">
        <f t="shared" si="1"/>
        <v>0.42074029056089696</v>
      </c>
      <c r="S101">
        <f t="shared" si="2"/>
        <v>11.350146359580584</v>
      </c>
    </row>
    <row r="102" spans="15:19" x14ac:dyDescent="0.35">
      <c r="O102">
        <v>-0.3</v>
      </c>
      <c r="P102">
        <f t="shared" si="0"/>
        <v>0.38138781546052414</v>
      </c>
      <c r="Q102">
        <f t="shared" si="1"/>
        <v>0.38208857781104733</v>
      </c>
      <c r="S102">
        <f t="shared" si="2"/>
        <v>11.23444170722547</v>
      </c>
    </row>
    <row r="103" spans="15:19" x14ac:dyDescent="0.35">
      <c r="O103">
        <v>-0.4</v>
      </c>
      <c r="P103">
        <f t="shared" ref="P103:P133" si="3">_xlfn.NORM.DIST(O103,0,1,FALSE)</f>
        <v>0.36827014030332333</v>
      </c>
      <c r="Q103">
        <f t="shared" ref="Q103:Q133" si="4">_xlfn.NORM.DIST(O103,0,1,TRUE)</f>
        <v>0.34457825838967576</v>
      </c>
      <c r="S103">
        <f t="shared" ref="S103:S133" si="5">$C$3+$C$4*(P103/(1-Q103))</f>
        <v>11.123765407593925</v>
      </c>
    </row>
    <row r="104" spans="15:19" x14ac:dyDescent="0.35">
      <c r="O104">
        <v>-0.5</v>
      </c>
      <c r="P104">
        <f t="shared" si="3"/>
        <v>0.35206532676429952</v>
      </c>
      <c r="Q104">
        <f t="shared" si="4"/>
        <v>0.30853753872598688</v>
      </c>
      <c r="S104">
        <f t="shared" si="5"/>
        <v>11.018320867674067</v>
      </c>
    </row>
    <row r="105" spans="15:19" x14ac:dyDescent="0.35">
      <c r="O105">
        <v>-0.6</v>
      </c>
      <c r="P105">
        <f t="shared" si="3"/>
        <v>0.33322460289179967</v>
      </c>
      <c r="Q105">
        <f t="shared" si="4"/>
        <v>0.27425311775007355</v>
      </c>
      <c r="S105">
        <f t="shared" si="5"/>
        <v>10.918294273228573</v>
      </c>
    </row>
    <row r="106" spans="15:19" x14ac:dyDescent="0.35">
      <c r="O106">
        <v>-0.7</v>
      </c>
      <c r="P106">
        <f t="shared" si="3"/>
        <v>0.31225393336676127</v>
      </c>
      <c r="Q106">
        <f t="shared" si="4"/>
        <v>0.24196365222307298</v>
      </c>
      <c r="S106">
        <f t="shared" si="5"/>
        <v>10.82384950083858</v>
      </c>
    </row>
    <row r="107" spans="15:19" x14ac:dyDescent="0.35">
      <c r="O107">
        <v>-0.8</v>
      </c>
      <c r="P107">
        <f t="shared" si="3"/>
        <v>0.28969155276148273</v>
      </c>
      <c r="Q107">
        <f t="shared" si="4"/>
        <v>0.21185539858339661</v>
      </c>
      <c r="S107">
        <f t="shared" si="5"/>
        <v>10.735122849895296</v>
      </c>
    </row>
    <row r="108" spans="15:19" x14ac:dyDescent="0.35">
      <c r="O108">
        <v>-0.9</v>
      </c>
      <c r="P108">
        <f t="shared" si="3"/>
        <v>0.26608524989875482</v>
      </c>
      <c r="Q108">
        <f t="shared" si="4"/>
        <v>0.1840601253467595</v>
      </c>
      <c r="S108">
        <f t="shared" si="5"/>
        <v>10.65221778752224</v>
      </c>
    </row>
    <row r="109" spans="15:19" x14ac:dyDescent="0.35">
      <c r="O109">
        <v>-1</v>
      </c>
      <c r="P109">
        <f t="shared" si="3"/>
        <v>0.24197072451914337</v>
      </c>
      <c r="Q109">
        <f t="shared" si="4"/>
        <v>0.15865525393145699</v>
      </c>
      <c r="S109">
        <f t="shared" si="5"/>
        <v>10.575199941878356</v>
      </c>
    </row>
    <row r="110" spans="15:19" x14ac:dyDescent="0.35">
      <c r="O110">
        <v>-1.1000000000000001</v>
      </c>
      <c r="P110">
        <f t="shared" si="3"/>
        <v>0.21785217703255053</v>
      </c>
      <c r="Q110">
        <f t="shared" si="4"/>
        <v>0.13566606094638264</v>
      </c>
      <c r="S110">
        <f t="shared" si="5"/>
        <v>10.504092613257979</v>
      </c>
    </row>
    <row r="111" spans="15:19" x14ac:dyDescent="0.35">
      <c r="O111">
        <v>-1.2</v>
      </c>
      <c r="P111">
        <f t="shared" si="3"/>
        <v>0.19418605498321295</v>
      </c>
      <c r="Q111">
        <f t="shared" si="4"/>
        <v>0.11506967022170828</v>
      </c>
      <c r="S111">
        <f t="shared" si="5"/>
        <v>10.438873091923211</v>
      </c>
    </row>
    <row r="112" spans="15:19" x14ac:dyDescent="0.35">
      <c r="O112">
        <v>-1.3</v>
      </c>
      <c r="P112">
        <f t="shared" si="3"/>
        <v>0.17136859204780736</v>
      </c>
      <c r="Q112">
        <f t="shared" si="4"/>
        <v>9.6800484585610316E-2</v>
      </c>
      <c r="S112">
        <f t="shared" si="5"/>
        <v>10.379470070838519</v>
      </c>
    </row>
    <row r="113" spans="15:19" x14ac:dyDescent="0.35">
      <c r="O113">
        <v>-1.4</v>
      </c>
      <c r="P113">
        <f t="shared" si="3"/>
        <v>0.14972746563574488</v>
      </c>
      <c r="Q113">
        <f t="shared" si="4"/>
        <v>8.0756659233771053E-2</v>
      </c>
      <c r="S113">
        <f t="shared" si="5"/>
        <v>10.325762415664476</v>
      </c>
    </row>
    <row r="114" spans="15:19" x14ac:dyDescent="0.35">
      <c r="O114">
        <v>-1.5</v>
      </c>
      <c r="P114">
        <f t="shared" si="3"/>
        <v>0.12951759566589174</v>
      </c>
      <c r="Q114">
        <f t="shared" si="4"/>
        <v>6.6807201268858057E-2</v>
      </c>
      <c r="S114">
        <f t="shared" si="5"/>
        <v>10.277579500917701</v>
      </c>
    </row>
    <row r="115" spans="15:19" x14ac:dyDescent="0.35">
      <c r="O115">
        <v>-1.6</v>
      </c>
      <c r="P115">
        <f t="shared" si="3"/>
        <v>0.11092083467945554</v>
      </c>
      <c r="Q115">
        <f t="shared" si="4"/>
        <v>5.4799291699557967E-2</v>
      </c>
      <c r="S115">
        <f t="shared" si="5"/>
        <v>10.234703240709376</v>
      </c>
    </row>
    <row r="116" spans="15:19" x14ac:dyDescent="0.35">
      <c r="O116">
        <v>-1.7</v>
      </c>
      <c r="P116">
        <f t="shared" si="3"/>
        <v>9.4049077376886947E-2</v>
      </c>
      <c r="Q116">
        <f t="shared" si="4"/>
        <v>4.4565462758543041E-2</v>
      </c>
      <c r="S116">
        <f t="shared" si="5"/>
        <v>10.196871839379863</v>
      </c>
    </row>
    <row r="117" spans="15:19" x14ac:dyDescent="0.35">
      <c r="O117">
        <v>-1.8</v>
      </c>
      <c r="P117">
        <f t="shared" si="3"/>
        <v>7.8950158300894149E-2</v>
      </c>
      <c r="Q117">
        <f t="shared" si="4"/>
        <v>3.5930319112925789E-2</v>
      </c>
      <c r="S117">
        <f t="shared" si="5"/>
        <v>10.163785170026816</v>
      </c>
    </row>
    <row r="118" spans="15:19" x14ac:dyDescent="0.35">
      <c r="O118">
        <v>-1.9</v>
      </c>
      <c r="P118">
        <f t="shared" si="3"/>
        <v>6.5615814774676595E-2</v>
      </c>
      <c r="Q118">
        <f t="shared" si="4"/>
        <v>2.87165598160018E-2</v>
      </c>
      <c r="S118">
        <f t="shared" si="5"/>
        <v>10.135111569002445</v>
      </c>
    </row>
    <row r="119" spans="15:19" x14ac:dyDescent="0.35">
      <c r="O119">
        <v>-2</v>
      </c>
      <c r="P119">
        <f t="shared" si="3"/>
        <v>5.3990966513188063E-2</v>
      </c>
      <c r="Q119">
        <f t="shared" si="4"/>
        <v>2.2750131948179191E-2</v>
      </c>
      <c r="S119">
        <f t="shared" si="5"/>
        <v>10.11049572535798</v>
      </c>
    </row>
    <row r="120" spans="15:19" x14ac:dyDescent="0.35">
      <c r="O120">
        <v>-2.1</v>
      </c>
      <c r="P120">
        <f t="shared" si="3"/>
        <v>4.3983595980427191E-2</v>
      </c>
      <c r="Q120">
        <f t="shared" si="4"/>
        <v>1.7864420562816546E-2</v>
      </c>
      <c r="S120">
        <f t="shared" si="5"/>
        <v>10.089567259146914</v>
      </c>
    </row>
    <row r="121" spans="15:19" x14ac:dyDescent="0.35">
      <c r="O121">
        <v>-2.2000000000000002</v>
      </c>
      <c r="P121">
        <f t="shared" si="3"/>
        <v>3.5474592846231424E-2</v>
      </c>
      <c r="Q121">
        <f t="shared" si="4"/>
        <v>1.3903447513498597E-2</v>
      </c>
      <c r="S121">
        <f t="shared" si="5"/>
        <v>10.071949532237548</v>
      </c>
    </row>
    <row r="122" spans="15:19" x14ac:dyDescent="0.35">
      <c r="O122">
        <v>-2.2999999999999998</v>
      </c>
      <c r="P122">
        <f t="shared" si="3"/>
        <v>2.8327037741601186E-2</v>
      </c>
      <c r="Q122">
        <f t="shared" si="4"/>
        <v>1.0724110021675811E-2</v>
      </c>
      <c r="S122">
        <f t="shared" si="5"/>
        <v>10.05726822624217</v>
      </c>
    </row>
    <row r="123" spans="15:19" x14ac:dyDescent="0.35">
      <c r="O123">
        <v>-2.4</v>
      </c>
      <c r="P123">
        <f t="shared" si="3"/>
        <v>2.2394530294842899E-2</v>
      </c>
      <c r="Q123">
        <f t="shared" si="4"/>
        <v>8.1975359245961311E-3</v>
      </c>
      <c r="S123">
        <f t="shared" si="5"/>
        <v>10.04515925520657</v>
      </c>
    </row>
    <row r="124" spans="15:19" x14ac:dyDescent="0.35">
      <c r="O124">
        <v>-2.5</v>
      </c>
      <c r="P124">
        <f t="shared" si="3"/>
        <v>1.752830049356854E-2</v>
      </c>
      <c r="Q124">
        <f t="shared" si="4"/>
        <v>6.2096653257761331E-3</v>
      </c>
      <c r="S124">
        <f t="shared" si="5"/>
        <v>10.035275650973833</v>
      </c>
    </row>
    <row r="125" spans="15:19" x14ac:dyDescent="0.35">
      <c r="O125">
        <v>-2.6</v>
      </c>
      <c r="P125">
        <f t="shared" si="3"/>
        <v>1.3582969233685613E-2</v>
      </c>
      <c r="Q125">
        <f t="shared" si="4"/>
        <v>4.6611880237187476E-3</v>
      </c>
      <c r="S125">
        <f t="shared" si="5"/>
        <v>10.027293157003927</v>
      </c>
    </row>
    <row r="126" spans="15:19" x14ac:dyDescent="0.35">
      <c r="O126">
        <v>-2.7</v>
      </c>
      <c r="P126">
        <f t="shared" si="3"/>
        <v>1.0420934814422592E-2</v>
      </c>
      <c r="Q126">
        <f t="shared" si="4"/>
        <v>3.4669738030406643E-3</v>
      </c>
      <c r="S126">
        <f t="shared" si="5"/>
        <v>10.020914379233755</v>
      </c>
    </row>
    <row r="127" spans="15:19" x14ac:dyDescent="0.35">
      <c r="O127">
        <v>-2.8</v>
      </c>
      <c r="P127">
        <f t="shared" si="3"/>
        <v>7.9154515829799686E-3</v>
      </c>
      <c r="Q127">
        <f t="shared" si="4"/>
        <v>2.5551303304279312E-3</v>
      </c>
      <c r="S127">
        <f t="shared" si="5"/>
        <v>10.015871456806634</v>
      </c>
    </row>
    <row r="128" spans="15:19" x14ac:dyDescent="0.35">
      <c r="O128">
        <v>-2.9</v>
      </c>
      <c r="P128">
        <f t="shared" si="3"/>
        <v>5.9525324197758538E-3</v>
      </c>
      <c r="Q128">
        <f t="shared" si="4"/>
        <v>1.8658133003840378E-3</v>
      </c>
      <c r="S128">
        <f t="shared" si="5"/>
        <v>10.011927318989962</v>
      </c>
    </row>
    <row r="129" spans="15:19" x14ac:dyDescent="0.35">
      <c r="O129">
        <v>-3</v>
      </c>
      <c r="P129">
        <f t="shared" si="3"/>
        <v>4.4318484119380075E-3</v>
      </c>
      <c r="Q129">
        <f t="shared" si="4"/>
        <v>1.3498980316300933E-3</v>
      </c>
      <c r="S129">
        <f t="shared" si="5"/>
        <v>10.008875678084252</v>
      </c>
    </row>
    <row r="130" spans="15:19" x14ac:dyDescent="0.35">
      <c r="O130" s="357">
        <v>-3.5</v>
      </c>
      <c r="P130">
        <f t="shared" si="3"/>
        <v>8.7268269504576015E-4</v>
      </c>
      <c r="Q130">
        <f t="shared" si="4"/>
        <v>2.3262907903552504E-4</v>
      </c>
      <c r="S130">
        <f t="shared" si="5"/>
        <v>10.001745771507309</v>
      </c>
    </row>
    <row r="131" spans="15:19" x14ac:dyDescent="0.35">
      <c r="O131" s="357">
        <v>-4</v>
      </c>
      <c r="P131">
        <f t="shared" si="3"/>
        <v>1.3383022576488537E-4</v>
      </c>
      <c r="Q131">
        <f t="shared" si="4"/>
        <v>3.1671241833119857E-5</v>
      </c>
      <c r="S131">
        <f t="shared" si="5"/>
        <v>10.000267668928938</v>
      </c>
    </row>
    <row r="132" spans="15:19" x14ac:dyDescent="0.35">
      <c r="O132" s="357">
        <v>-4.5</v>
      </c>
      <c r="P132">
        <f t="shared" si="3"/>
        <v>1.5983741106905475E-5</v>
      </c>
      <c r="Q132">
        <f t="shared" si="4"/>
        <v>3.3976731247300535E-6</v>
      </c>
      <c r="S132">
        <f t="shared" si="5"/>
        <v>10.000031967590829</v>
      </c>
    </row>
    <row r="133" spans="15:19" x14ac:dyDescent="0.35">
      <c r="O133" s="357">
        <v>-5</v>
      </c>
      <c r="P133">
        <f t="shared" si="3"/>
        <v>1.4867195147342977E-6</v>
      </c>
      <c r="Q133">
        <f t="shared" si="4"/>
        <v>2.8665157187919333E-7</v>
      </c>
      <c r="S133">
        <f t="shared" si="5"/>
        <v>10.000002973439882</v>
      </c>
    </row>
  </sheetData>
  <hyperlinks>
    <hyperlink ref="B38" r:id="rId1" xr:uid="{D3CA8E18-BFA9-47EB-B099-855AD1671FFB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E5CE-43A8-48A4-A847-FD810FEEAD84}">
  <sheetPr>
    <tabColor theme="5"/>
  </sheetPr>
  <dimension ref="B1:AC70"/>
  <sheetViews>
    <sheetView showGridLines="0" zoomScaleNormal="100" workbookViewId="0">
      <selection activeCell="F8" sqref="F8"/>
    </sheetView>
  </sheetViews>
  <sheetFormatPr defaultColWidth="8.81640625" defaultRowHeight="14.5" x14ac:dyDescent="0.35"/>
  <cols>
    <col min="1" max="1" width="2.81640625" customWidth="1"/>
    <col min="2" max="2" width="3.453125" customWidth="1"/>
    <col min="3" max="3" width="23.54296875" customWidth="1"/>
    <col min="4" max="12" width="12" customWidth="1"/>
    <col min="13" max="13" width="6.1796875" customWidth="1"/>
    <col min="14" max="14" width="12" customWidth="1"/>
    <col min="15" max="15" width="8.81640625" customWidth="1"/>
    <col min="16" max="17" width="12" customWidth="1"/>
    <col min="20" max="20" width="25.453125" bestFit="1" customWidth="1"/>
    <col min="21" max="21" width="10.1796875" customWidth="1"/>
    <col min="22" max="22" width="10.7265625" bestFit="1" customWidth="1"/>
    <col min="23" max="24" width="9.7265625" bestFit="1" customWidth="1"/>
  </cols>
  <sheetData>
    <row r="1" spans="2:29" ht="14.5" customHeight="1" thickBot="1" x14ac:dyDescent="0.4">
      <c r="C1" s="117" t="s">
        <v>0</v>
      </c>
      <c r="K1" s="3"/>
      <c r="L1" s="507"/>
      <c r="O1" s="3" t="s">
        <v>103</v>
      </c>
      <c r="P1" s="118">
        <f>C3+(C3*D3*2)-E7+MAX(O3-(C3+(C3*D3*2)),0)</f>
        <v>6</v>
      </c>
      <c r="T1" s="407"/>
      <c r="U1" s="83"/>
    </row>
    <row r="2" spans="2:29" ht="31" customHeight="1" thickBot="1" x14ac:dyDescent="0.4">
      <c r="C2" s="116" t="s">
        <v>2</v>
      </c>
      <c r="D2" s="16" t="s">
        <v>3</v>
      </c>
      <c r="E2" s="16" t="s">
        <v>4</v>
      </c>
      <c r="F2" s="16" t="s">
        <v>5</v>
      </c>
      <c r="G2" s="16" t="s">
        <v>104</v>
      </c>
      <c r="H2" s="16" t="s">
        <v>64</v>
      </c>
      <c r="I2" s="40" t="s">
        <v>10</v>
      </c>
      <c r="J2" s="40" t="s">
        <v>11</v>
      </c>
      <c r="K2" s="40" t="s">
        <v>12</v>
      </c>
      <c r="L2" s="7" t="s">
        <v>105</v>
      </c>
      <c r="M2" s="6"/>
      <c r="N2" s="504" t="s">
        <v>14</v>
      </c>
      <c r="O2" s="40" t="s">
        <v>15</v>
      </c>
      <c r="P2" s="7" t="s">
        <v>13</v>
      </c>
      <c r="R2" s="6"/>
      <c r="T2" s="528" t="s">
        <v>106</v>
      </c>
      <c r="U2" s="529"/>
      <c r="V2" s="529"/>
      <c r="W2" s="530"/>
    </row>
    <row r="3" spans="2:29" ht="15" thickBot="1" x14ac:dyDescent="0.4">
      <c r="C3" s="18">
        <v>10</v>
      </c>
      <c r="D3" s="20">
        <v>0.2</v>
      </c>
      <c r="E3" s="19">
        <v>50</v>
      </c>
      <c r="F3" s="19">
        <v>100</v>
      </c>
      <c r="G3" s="21">
        <v>10000</v>
      </c>
      <c r="H3" s="21">
        <v>20000</v>
      </c>
      <c r="I3" s="41">
        <v>2</v>
      </c>
      <c r="J3" s="41">
        <v>2026</v>
      </c>
      <c r="K3" s="41">
        <v>2016</v>
      </c>
      <c r="L3" s="8">
        <v>2027</v>
      </c>
      <c r="M3" s="6"/>
      <c r="N3" s="505">
        <f>J3+I3-1</f>
        <v>2027</v>
      </c>
      <c r="O3" s="506">
        <f>J3-K3</f>
        <v>10</v>
      </c>
      <c r="P3" s="508">
        <f>IF(L3="",0,L3-J3-E7+O3)</f>
        <v>3</v>
      </c>
      <c r="R3" s="6"/>
      <c r="T3" s="405" t="s">
        <v>61</v>
      </c>
      <c r="U3" s="406">
        <f>E12</f>
        <v>1</v>
      </c>
      <c r="V3" s="406">
        <f>E7</f>
        <v>8</v>
      </c>
      <c r="W3" s="406">
        <f>E13</f>
        <v>1</v>
      </c>
      <c r="Z3" s="3"/>
    </row>
    <row r="4" spans="2:29" x14ac:dyDescent="0.35">
      <c r="C4" s="6"/>
      <c r="D4" s="6"/>
      <c r="E4" s="23"/>
      <c r="F4" s="23"/>
      <c r="G4" s="23"/>
      <c r="H4" s="23"/>
      <c r="K4" s="23"/>
      <c r="L4" s="23"/>
      <c r="M4" s="23"/>
      <c r="N4" s="23"/>
      <c r="O4" s="23"/>
      <c r="P4" s="6"/>
      <c r="Q4" s="6"/>
      <c r="R4" s="6"/>
      <c r="T4" s="296" t="s">
        <v>62</v>
      </c>
      <c r="U4" s="298">
        <f>C3</f>
        <v>10</v>
      </c>
      <c r="V4" s="298">
        <f>C3</f>
        <v>10</v>
      </c>
      <c r="W4" s="298">
        <f>C3</f>
        <v>10</v>
      </c>
    </row>
    <row r="5" spans="2:29" x14ac:dyDescent="0.35">
      <c r="C5" s="6"/>
      <c r="D5" s="81" t="s">
        <v>19</v>
      </c>
      <c r="E5" s="82">
        <f>C3+(C3*D3*2)</f>
        <v>14</v>
      </c>
      <c r="F5" s="6"/>
      <c r="G5" s="6"/>
      <c r="H5" s="6"/>
      <c r="I5" s="6"/>
      <c r="J5" s="6"/>
      <c r="K5" s="6"/>
      <c r="L5" s="24"/>
      <c r="M5" s="6"/>
      <c r="N5" s="6"/>
      <c r="O5" s="6"/>
      <c r="P5" s="6"/>
      <c r="Q5" s="6"/>
      <c r="R5" s="6"/>
      <c r="T5" s="296" t="s">
        <v>63</v>
      </c>
      <c r="U5" s="298">
        <f>C3*D3</f>
        <v>2</v>
      </c>
      <c r="V5" s="298">
        <f>C3*D3</f>
        <v>2</v>
      </c>
      <c r="W5" s="298">
        <f>C3*D3</f>
        <v>2</v>
      </c>
      <c r="Z5" s="9"/>
    </row>
    <row r="6" spans="2:29" ht="15" thickBot="1" x14ac:dyDescent="0.4">
      <c r="B6" s="1"/>
      <c r="C6" s="1"/>
      <c r="D6" s="1"/>
      <c r="E6" s="1"/>
      <c r="F6" s="1"/>
      <c r="J6" s="6"/>
      <c r="K6" s="6"/>
      <c r="L6" s="24"/>
      <c r="M6" s="6"/>
      <c r="O6" s="6"/>
      <c r="P6" s="25"/>
      <c r="Q6" s="25"/>
      <c r="R6" s="6"/>
      <c r="T6" s="296" t="s">
        <v>15</v>
      </c>
      <c r="U6" s="297">
        <f>O3</f>
        <v>10</v>
      </c>
      <c r="V6" s="297">
        <v>0</v>
      </c>
      <c r="W6" s="297">
        <v>0</v>
      </c>
      <c r="Z6" s="9"/>
    </row>
    <row r="7" spans="2:29" x14ac:dyDescent="0.35">
      <c r="B7" s="509" t="s">
        <v>22</v>
      </c>
      <c r="C7" s="531" t="s">
        <v>16</v>
      </c>
      <c r="D7" s="532"/>
      <c r="E7" s="295">
        <v>8</v>
      </c>
      <c r="F7" s="6"/>
      <c r="H7" s="85" t="s">
        <v>107</v>
      </c>
      <c r="I7" t="s">
        <v>17</v>
      </c>
      <c r="J7" t="s">
        <v>18</v>
      </c>
      <c r="K7" s="6"/>
      <c r="L7" s="24"/>
      <c r="M7" s="6"/>
      <c r="O7" s="6"/>
      <c r="P7" s="25"/>
      <c r="Q7" s="25"/>
      <c r="R7" s="6"/>
      <c r="T7" s="299"/>
      <c r="U7" s="245"/>
      <c r="V7" s="245"/>
      <c r="W7" s="245"/>
    </row>
    <row r="8" spans="2:29" x14ac:dyDescent="0.35">
      <c r="B8" s="510"/>
      <c r="C8" s="533" t="s">
        <v>24</v>
      </c>
      <c r="D8" s="534"/>
      <c r="E8" s="493">
        <f>$J3+E7-$O3+$P3</f>
        <v>2027</v>
      </c>
      <c r="F8" s="6"/>
      <c r="H8" s="10">
        <v>2020</v>
      </c>
      <c r="I8" s="10" t="s">
        <v>20</v>
      </c>
      <c r="J8" s="10" t="s">
        <v>20</v>
      </c>
      <c r="K8" s="6"/>
      <c r="L8" s="25" t="s">
        <v>23</v>
      </c>
      <c r="M8" s="25"/>
      <c r="N8" s="6"/>
      <c r="R8" s="6"/>
      <c r="T8" s="123"/>
      <c r="U8" s="245"/>
      <c r="V8" s="245"/>
      <c r="W8" s="245"/>
    </row>
    <row r="9" spans="2:29" x14ac:dyDescent="0.35">
      <c r="B9" s="510"/>
      <c r="C9" s="533" t="s">
        <v>26</v>
      </c>
      <c r="D9" s="534"/>
      <c r="E9" s="493">
        <f>IF(E8&lt;$J3,$J3,E8)</f>
        <v>2027</v>
      </c>
      <c r="F9" s="6"/>
      <c r="H9" s="10">
        <v>2021</v>
      </c>
      <c r="I9" s="11"/>
      <c r="J9" s="10"/>
      <c r="L9" s="25" t="s">
        <v>25</v>
      </c>
      <c r="M9" s="25"/>
      <c r="N9" s="6"/>
      <c r="R9" s="42"/>
      <c r="S9" s="42"/>
      <c r="T9" s="300" t="s">
        <v>66</v>
      </c>
      <c r="U9" s="301">
        <f>IF(U6&gt;U4-(2*U5),U30-U6,U4-U6)</f>
        <v>1.5957691216057306</v>
      </c>
      <c r="V9" s="301">
        <f>IF(V6&gt;V4-(2*V5),V30-V6,V4-V6)</f>
        <v>10</v>
      </c>
      <c r="W9" s="301">
        <f>IF(W6&gt;W4-(2*W5),W30-W6,W4-W6)</f>
        <v>10</v>
      </c>
      <c r="Z9" s="9"/>
      <c r="AA9" s="42"/>
      <c r="AB9" s="42"/>
      <c r="AC9" s="25"/>
    </row>
    <row r="10" spans="2:29" x14ac:dyDescent="0.35">
      <c r="B10" s="510"/>
      <c r="C10" s="520" t="s">
        <v>28</v>
      </c>
      <c r="D10" s="521"/>
      <c r="E10" s="501">
        <f>IF(E9&gt;=$N3+1,0,_xlfn.CEILING.MATH(($N3+1-E9)/E7))</f>
        <v>1</v>
      </c>
      <c r="F10" s="494"/>
      <c r="H10" s="10">
        <v>2022</v>
      </c>
      <c r="I10" s="11"/>
      <c r="J10" s="11"/>
      <c r="L10" s="25" t="s">
        <v>27</v>
      </c>
      <c r="M10" s="42"/>
      <c r="N10" s="42"/>
      <c r="O10" s="42"/>
      <c r="P10" s="42"/>
      <c r="Q10" s="42"/>
      <c r="R10" s="6"/>
      <c r="T10" s="296" t="s">
        <v>68</v>
      </c>
      <c r="U10" s="301" t="str">
        <f>IF(U9&gt;U3,"geen",IF(U9=U3,"halve",IF(U3-U9&gt;=U4,"1,5ofmeer","één")))</f>
        <v>geen</v>
      </c>
      <c r="V10" s="301" t="str">
        <f>IF(V9&gt;V3,"geen",IF(V9=V3,"halve",IF(V3-V9&gt;=V4,"1,5ofmeer","één")))</f>
        <v>geen</v>
      </c>
      <c r="W10" s="301" t="str">
        <f>IF(W9&gt;W3,"geen",IF(W9=W3,"halve",IF(W3-W9&gt;=W4,"1,5ofmeer","één")))</f>
        <v>geen</v>
      </c>
      <c r="Z10" s="9"/>
    </row>
    <row r="11" spans="2:29" x14ac:dyDescent="0.35">
      <c r="B11" s="510"/>
      <c r="C11" s="520" t="s">
        <v>30</v>
      </c>
      <c r="D11" s="521"/>
      <c r="E11" s="493">
        <f>IF(E10=0,E9,E9+(E10-1)*E7)</f>
        <v>2027</v>
      </c>
      <c r="F11" s="6"/>
      <c r="H11" s="10">
        <v>2023</v>
      </c>
      <c r="I11" s="10"/>
      <c r="J11" s="11"/>
      <c r="L11" s="6" t="s">
        <v>29</v>
      </c>
      <c r="M11" s="26"/>
      <c r="N11" s="6"/>
      <c r="R11" s="6"/>
      <c r="T11" s="296" t="s">
        <v>70</v>
      </c>
      <c r="U11" s="301">
        <f>TRUNC((U3-U9)/U4)+IF(U9&lt;=U3,1,0)</f>
        <v>0</v>
      </c>
      <c r="V11" s="301">
        <f>TRUNC((V3-V9)/V4)+IF(V9&lt;=V3,1,0)</f>
        <v>0</v>
      </c>
      <c r="W11" s="301">
        <f>TRUNC((W3-W9)/W4)+IF(W9&lt;=W3,1,0)</f>
        <v>0</v>
      </c>
    </row>
    <row r="12" spans="2:29" x14ac:dyDescent="0.35">
      <c r="B12" s="510"/>
      <c r="C12" s="533" t="s">
        <v>31</v>
      </c>
      <c r="D12" s="534"/>
      <c r="E12" s="502">
        <f>IF(E9&gt;=$N3+1,$I3,E9-$J3)</f>
        <v>1</v>
      </c>
      <c r="F12" s="6"/>
      <c r="H12" s="10">
        <v>2024</v>
      </c>
      <c r="I12" s="11"/>
      <c r="J12" s="10"/>
      <c r="L12" s="6"/>
      <c r="M12" s="26"/>
      <c r="N12" s="6"/>
      <c r="R12" s="6"/>
      <c r="T12" s="296" t="s">
        <v>72</v>
      </c>
      <c r="U12" s="301">
        <f>IF(U11=0,0,MOD(U3-U9,U4))</f>
        <v>0</v>
      </c>
      <c r="V12" s="301">
        <f>IF(V11=0,0,MOD(V3-V9,V4))</f>
        <v>0</v>
      </c>
      <c r="W12" s="301">
        <f>IF(W11=0,0,MOD(W3-W9,W4))</f>
        <v>0</v>
      </c>
    </row>
    <row r="13" spans="2:29" ht="15" thickBot="1" x14ac:dyDescent="0.4">
      <c r="B13" s="515"/>
      <c r="C13" s="526" t="s">
        <v>32</v>
      </c>
      <c r="D13" s="527"/>
      <c r="E13" s="503">
        <f>IF(E11&lt;$N3+1,$N3+1-E11,0)</f>
        <v>1</v>
      </c>
      <c r="F13" s="6"/>
      <c r="H13" s="294">
        <v>2025</v>
      </c>
      <c r="I13" s="288"/>
      <c r="J13" s="288"/>
      <c r="L13" s="6"/>
      <c r="M13" s="26"/>
      <c r="N13" s="6"/>
      <c r="R13" s="6"/>
      <c r="T13" s="299"/>
      <c r="U13" s="245"/>
      <c r="V13" s="245"/>
      <c r="W13" s="245"/>
    </row>
    <row r="14" spans="2:29" ht="15" thickBot="1" x14ac:dyDescent="0.4">
      <c r="B14" s="509" t="s">
        <v>33</v>
      </c>
      <c r="C14" s="511" t="s">
        <v>34</v>
      </c>
      <c r="D14" s="512"/>
      <c r="E14" s="289">
        <f>IF(E12=0,0,IF(OR(E7&gt;E5,P3&gt;P1),U24,F14))</f>
        <v>0.38292492254802624</v>
      </c>
      <c r="F14" s="277">
        <f>IF(E12=0,0,(_xlfn.NORM.DIST(MIN(E7+$P3,$O3+$I3),$C3,$C3*$D3,TRUE)-_xlfn.NORM.DIST($O3,$C3,$C3*$D3,TRUE))/(1-_xlfn.NORM.DIST($O3,$C3,$C3*$D3,TRUE)))</f>
        <v>0.38292492254802624</v>
      </c>
      <c r="H14" s="294">
        <v>2026</v>
      </c>
      <c r="I14" s="288"/>
      <c r="J14" s="288"/>
      <c r="L14" s="6"/>
      <c r="M14" s="26"/>
      <c r="N14" s="6"/>
      <c r="R14" s="6"/>
      <c r="T14" s="302" t="s">
        <v>74</v>
      </c>
      <c r="U14" s="303">
        <f>SUM(U15:U16)</f>
        <v>0.38292492254802624</v>
      </c>
      <c r="V14" s="303">
        <f>SUM(V15:V16)</f>
        <v>0.15865501275859392</v>
      </c>
      <c r="W14" s="303">
        <f>SUM(W15:W16)</f>
        <v>3.111022444630334E-6</v>
      </c>
      <c r="Z14" s="3"/>
    </row>
    <row r="15" spans="2:29" ht="15" thickTop="1" x14ac:dyDescent="0.35">
      <c r="B15" s="510"/>
      <c r="C15" s="513" t="s">
        <v>36</v>
      </c>
      <c r="D15" s="514"/>
      <c r="E15" s="291">
        <f>IF(E13=0,0,IF(E13&gt;E5,W24,F15))</f>
        <v>3.3976731247300535E-6</v>
      </c>
      <c r="F15" s="286">
        <f>IF(E13=0,0,_xlfn.NORM.DIST(E13,$C3,$C3*$D3,TRUE))</f>
        <v>3.3976731247300535E-6</v>
      </c>
      <c r="H15" s="294">
        <v>2027</v>
      </c>
      <c r="I15" s="288"/>
      <c r="J15" s="292" t="s">
        <v>20</v>
      </c>
      <c r="L15" s="63" t="s">
        <v>35</v>
      </c>
      <c r="M15" s="24"/>
      <c r="N15" s="6"/>
      <c r="R15" s="6"/>
      <c r="S15" s="6"/>
      <c r="T15" s="296" t="s">
        <v>75</v>
      </c>
      <c r="U15" s="304">
        <f>IF(U11&lt;2,(_xlfn.NORM.DIST(U6+U3,U4,U5,TRUE)-_xlfn.NORM.DIST(U6,U4,U5,TRUE))/(1-_xlfn.NORM.DIST(U6,U4,U5,TRUE)),"nvt")</f>
        <v>0.38292492254802624</v>
      </c>
      <c r="V15" s="304">
        <f>IF(V11&lt;2,(_xlfn.NORM.DIST(V6+V3,V4,V5,TRUE)-_xlfn.NORM.DIST(V6,V4,V5,TRUE))/(1-_xlfn.NORM.DIST(V6,V4,V5,TRUE)),"nvt")</f>
        <v>0.15865501275859392</v>
      </c>
      <c r="W15" s="304">
        <f>IF(W11&lt;2,(_xlfn.NORM.DIST(W6+W3,W4,W5,TRUE)-_xlfn.NORM.DIST(W6,W4,W5,TRUE))/(1-_xlfn.NORM.DIST(W6,W4,W5,TRUE)),"nvt")</f>
        <v>3.111022444630334E-6</v>
      </c>
    </row>
    <row r="16" spans="2:29" ht="15" thickBot="1" x14ac:dyDescent="0.4">
      <c r="B16" s="510"/>
      <c r="C16" s="513" t="s">
        <v>38</v>
      </c>
      <c r="D16" s="514"/>
      <c r="E16" s="293">
        <f>IF(E10&gt;1,IF(E7&gt;E5,V24,F16),0)</f>
        <v>0</v>
      </c>
      <c r="F16" s="408">
        <f>IF(E10&gt;1,_xlfn.NORM.DIST(E7,$C3,$C3*$D3,TRUE),0)</f>
        <v>0</v>
      </c>
      <c r="H16" s="294">
        <v>2028</v>
      </c>
      <c r="I16" s="292" t="s">
        <v>20</v>
      </c>
      <c r="J16" s="292"/>
      <c r="L16" s="236" t="s">
        <v>37</v>
      </c>
      <c r="M16" s="237"/>
      <c r="N16" s="236"/>
      <c r="O16" s="238"/>
      <c r="P16" s="238"/>
      <c r="Q16" s="238"/>
      <c r="R16" s="6"/>
      <c r="T16" s="296" t="s">
        <v>76</v>
      </c>
      <c r="U16" s="305">
        <f>IF(U11&lt;2,IF(U12=0,0,_xlfn.NORM.DIST(U12,U4,U5,TRUE)),"nvt")</f>
        <v>0</v>
      </c>
      <c r="V16" s="305">
        <f>IF(V11&lt;2,IF(V12=0,0,_xlfn.NORM.DIST(V12,V4,V5,TRUE)),"nvt")</f>
        <v>0</v>
      </c>
      <c r="W16" s="305">
        <f>IF(W11&lt;2,IF(W12=0,0,_xlfn.NORM.DIST(W12,W4,W5,TRUE)),"nvt")</f>
        <v>0</v>
      </c>
    </row>
    <row r="17" spans="2:23" x14ac:dyDescent="0.35">
      <c r="B17" s="509" t="s">
        <v>40</v>
      </c>
      <c r="C17" s="516" t="s">
        <v>41</v>
      </c>
      <c r="D17" s="517"/>
      <c r="E17" s="278">
        <f>E14*$H3</f>
        <v>7658.4984509605247</v>
      </c>
      <c r="F17" s="6"/>
      <c r="H17" s="294">
        <v>2029</v>
      </c>
      <c r="I17" s="292"/>
      <c r="J17" s="292"/>
      <c r="L17" s="25" t="s">
        <v>39</v>
      </c>
      <c r="M17" s="24"/>
      <c r="N17" s="6"/>
      <c r="R17" s="6"/>
      <c r="T17" s="123"/>
      <c r="U17" s="245"/>
      <c r="V17" s="245"/>
      <c r="W17" s="245"/>
    </row>
    <row r="18" spans="2:23" ht="15" thickBot="1" x14ac:dyDescent="0.4">
      <c r="B18" s="510"/>
      <c r="C18" s="518" t="s">
        <v>43</v>
      </c>
      <c r="D18" s="519"/>
      <c r="E18" s="279">
        <f>E15*$H3</f>
        <v>6.7953462494601075E-2</v>
      </c>
      <c r="F18" s="6"/>
      <c r="H18" s="294">
        <v>2030</v>
      </c>
      <c r="I18" s="292"/>
      <c r="J18" s="292"/>
      <c r="L18" s="6" t="s">
        <v>42</v>
      </c>
      <c r="M18" s="24"/>
      <c r="N18" s="6"/>
      <c r="R18" s="6"/>
      <c r="T18" s="302" t="s">
        <v>78</v>
      </c>
      <c r="U18" s="303">
        <f>SUM(U19:U21)</f>
        <v>0</v>
      </c>
      <c r="V18" s="303">
        <f>SUM(V19:V21)</f>
        <v>0</v>
      </c>
      <c r="W18" s="303">
        <f>SUM(W19:W21)</f>
        <v>0</v>
      </c>
    </row>
    <row r="19" spans="2:23" ht="15" thickTop="1" x14ac:dyDescent="0.35">
      <c r="B19" s="510"/>
      <c r="C19" s="518" t="s">
        <v>45</v>
      </c>
      <c r="D19" s="519"/>
      <c r="E19" s="279">
        <f>E16*$H3*(E10-1)</f>
        <v>0</v>
      </c>
      <c r="F19" s="6"/>
      <c r="H19" s="294">
        <v>2031</v>
      </c>
      <c r="I19" s="292"/>
      <c r="J19" s="292"/>
      <c r="L19" s="79" t="s">
        <v>44</v>
      </c>
      <c r="M19" s="24"/>
      <c r="N19" s="6"/>
      <c r="R19" s="6"/>
      <c r="T19" s="296" t="s">
        <v>80</v>
      </c>
      <c r="U19" s="304" t="str">
        <f>IF(U11&gt;=2,U11-1,"nvt")</f>
        <v>nvt</v>
      </c>
      <c r="V19" s="304" t="str">
        <f>IF(V11&gt;=2,V11-1,"nvt")</f>
        <v>nvt</v>
      </c>
      <c r="W19" s="304" t="str">
        <f>IF(W11&gt;=2,W11-1,"nvt")</f>
        <v>nvt</v>
      </c>
    </row>
    <row r="20" spans="2:23" x14ac:dyDescent="0.35">
      <c r="B20" s="510"/>
      <c r="C20" s="513" t="s">
        <v>47</v>
      </c>
      <c r="D20" s="514"/>
      <c r="E20" s="280">
        <f>SUM(E17:E19)</f>
        <v>7658.5664044230189</v>
      </c>
      <c r="F20" s="6"/>
      <c r="H20" s="294">
        <v>2032</v>
      </c>
      <c r="I20" s="292"/>
      <c r="J20" s="292"/>
      <c r="L20" s="80" t="s">
        <v>46</v>
      </c>
      <c r="M20" s="24"/>
      <c r="N20" s="6"/>
      <c r="R20" s="6"/>
      <c r="T20" s="296" t="s">
        <v>82</v>
      </c>
      <c r="U20" s="305" t="str">
        <f>IF(U11&gt;=2,_xlfn.NORM.DIST(U4+U12,U4,U5,TRUE),"nvt")</f>
        <v>nvt</v>
      </c>
      <c r="V20" s="305" t="str">
        <f>IF(V11&gt;=2,_xlfn.NORM.DIST(V4+V12,V4,V5,TRUE),"nvt")</f>
        <v>nvt</v>
      </c>
      <c r="W20" s="305" t="str">
        <f>IF(W11&gt;=2,_xlfn.NORM.DIST(W4+W12,W4,W5,TRUE),"nvt")</f>
        <v>nvt</v>
      </c>
    </row>
    <row r="21" spans="2:23" x14ac:dyDescent="0.35">
      <c r="B21" s="510"/>
      <c r="C21" s="520" t="s">
        <v>48</v>
      </c>
      <c r="D21" s="521"/>
      <c r="E21" s="281">
        <f>E10*$G3</f>
        <v>10000</v>
      </c>
      <c r="F21" s="6"/>
      <c r="H21" s="294">
        <v>2033</v>
      </c>
      <c r="I21" s="292"/>
      <c r="J21" s="292"/>
      <c r="L21" s="24"/>
      <c r="M21" s="24"/>
      <c r="N21" s="6"/>
      <c r="R21" s="6"/>
      <c r="T21" s="296" t="s">
        <v>76</v>
      </c>
      <c r="U21" s="305" t="str">
        <f>IF(U11&gt;=2,IF(U12=0,0,_xlfn.NORM.DIST(U12,U4,U5,TRUE)),"nvt")</f>
        <v>nvt</v>
      </c>
      <c r="V21" s="305" t="str">
        <f>IF(V11&gt;=2,IF(V12=0,0,_xlfn.NORM.DIST(V12,V4,V5,TRUE)),"nvt")</f>
        <v>nvt</v>
      </c>
      <c r="W21" s="305" t="str">
        <f>IF(W11&gt;=2,IF(W12=0,0,_xlfn.NORM.DIST(W12,W4,W5,TRUE)),"nvt")</f>
        <v>nvt</v>
      </c>
    </row>
    <row r="22" spans="2:23" x14ac:dyDescent="0.35">
      <c r="B22" s="510"/>
      <c r="C22" s="520" t="s">
        <v>50</v>
      </c>
      <c r="D22" s="521"/>
      <c r="E22" s="281">
        <f>SUM(E20:E21)</f>
        <v>17658.566404423018</v>
      </c>
      <c r="F22" s="6"/>
      <c r="H22" s="294">
        <v>2034</v>
      </c>
      <c r="I22" s="292"/>
      <c r="J22" s="292" t="s">
        <v>20</v>
      </c>
      <c r="L22" s="430" t="s">
        <v>108</v>
      </c>
      <c r="M22" s="24"/>
      <c r="N22" s="6"/>
      <c r="R22" s="6"/>
      <c r="T22" s="123"/>
      <c r="U22" s="245"/>
      <c r="V22" s="245"/>
      <c r="W22" s="245"/>
    </row>
    <row r="23" spans="2:23" ht="15" thickBot="1" x14ac:dyDescent="0.4">
      <c r="B23" s="515"/>
      <c r="C23" s="522" t="s">
        <v>51</v>
      </c>
      <c r="D23" s="523"/>
      <c r="E23" s="282">
        <f>E22/$I3</f>
        <v>8829.283202211509</v>
      </c>
      <c r="F23" s="6"/>
      <c r="H23" s="294">
        <v>2035</v>
      </c>
      <c r="I23" s="292"/>
      <c r="J23" s="292"/>
      <c r="M23" s="6"/>
      <c r="O23" s="24"/>
      <c r="P23" s="25"/>
      <c r="Q23" s="25"/>
      <c r="R23" s="6"/>
      <c r="T23" s="123"/>
      <c r="U23" s="245"/>
      <c r="V23" s="245"/>
      <c r="W23" s="245"/>
    </row>
    <row r="24" spans="2:23" x14ac:dyDescent="0.35">
      <c r="B24" s="509" t="s">
        <v>52</v>
      </c>
      <c r="C24" s="516" t="s">
        <v>53</v>
      </c>
      <c r="D24" s="517"/>
      <c r="E24" s="283">
        <f>E14*$F3</f>
        <v>38.292492254802625</v>
      </c>
      <c r="F24" s="6"/>
      <c r="H24" s="294">
        <v>2036</v>
      </c>
      <c r="I24" s="292" t="s">
        <v>20</v>
      </c>
      <c r="J24" s="292"/>
      <c r="L24" s="311" t="s">
        <v>109</v>
      </c>
      <c r="M24" s="236"/>
      <c r="N24" s="238"/>
      <c r="O24" s="236"/>
      <c r="P24" s="312"/>
      <c r="Q24" s="236"/>
      <c r="R24" s="6"/>
      <c r="T24" s="306" t="s">
        <v>89</v>
      </c>
      <c r="U24" s="307">
        <f>IF(U11&lt;2,U14,U18)</f>
        <v>0.38292492254802624</v>
      </c>
      <c r="V24" s="307">
        <f>IF(V11&lt;2,V14,V18)</f>
        <v>0.15865501275859392</v>
      </c>
      <c r="W24" s="307">
        <f>IF(W11&lt;2,W14,W18)</f>
        <v>3.111022444630334E-6</v>
      </c>
    </row>
    <row r="25" spans="2:23" x14ac:dyDescent="0.35">
      <c r="B25" s="510"/>
      <c r="C25" s="524" t="s">
        <v>54</v>
      </c>
      <c r="D25" s="525"/>
      <c r="E25" s="284">
        <f>E15*$F3</f>
        <v>3.3976731247300536E-4</v>
      </c>
      <c r="F25" s="6"/>
      <c r="H25" s="294">
        <v>2037</v>
      </c>
      <c r="I25" s="292"/>
      <c r="J25" s="292"/>
      <c r="L25" s="80" t="s">
        <v>110</v>
      </c>
      <c r="M25" s="6"/>
      <c r="O25" s="6"/>
      <c r="P25" s="25"/>
      <c r="Q25" s="6"/>
      <c r="R25" s="6"/>
      <c r="T25" s="306" t="s">
        <v>59</v>
      </c>
      <c r="U25" s="307">
        <f>U24/U3</f>
        <v>0.38292492254802624</v>
      </c>
      <c r="V25" s="307">
        <f>V24/V3</f>
        <v>1.983187659482424E-2</v>
      </c>
      <c r="W25" s="307">
        <f>W24/W3</f>
        <v>3.111022444630334E-6</v>
      </c>
    </row>
    <row r="26" spans="2:23" x14ac:dyDescent="0.35">
      <c r="B26" s="510"/>
      <c r="C26" s="524" t="s">
        <v>55</v>
      </c>
      <c r="D26" s="525"/>
      <c r="E26" s="285">
        <f>E16*$F3*(E10-1)</f>
        <v>0</v>
      </c>
      <c r="F26" s="6"/>
      <c r="H26" s="294">
        <v>2038</v>
      </c>
      <c r="I26" s="292"/>
      <c r="J26" s="292"/>
      <c r="M26" s="6"/>
      <c r="O26" s="6"/>
      <c r="P26" s="6"/>
      <c r="Q26" s="25"/>
      <c r="R26" s="6"/>
      <c r="T26" s="123"/>
      <c r="U26" s="308"/>
      <c r="V26" s="308"/>
      <c r="W26" s="308"/>
    </row>
    <row r="27" spans="2:23" x14ac:dyDescent="0.35">
      <c r="B27" s="510"/>
      <c r="C27" s="520" t="s">
        <v>56</v>
      </c>
      <c r="D27" s="521"/>
      <c r="E27" s="286">
        <f>SUM(E24:E26)/$I3</f>
        <v>19.14641601105755</v>
      </c>
      <c r="F27" s="6"/>
      <c r="H27" s="294">
        <v>2039</v>
      </c>
      <c r="I27" s="292"/>
      <c r="J27" s="292"/>
      <c r="M27" s="6"/>
      <c r="O27" s="6"/>
      <c r="P27" s="6"/>
      <c r="Q27" s="6"/>
      <c r="R27" s="6"/>
      <c r="T27" s="123"/>
      <c r="U27" s="308"/>
      <c r="V27" s="308"/>
      <c r="W27" s="308"/>
    </row>
    <row r="28" spans="2:23" ht="15" thickBot="1" x14ac:dyDescent="0.4">
      <c r="B28" s="510"/>
      <c r="C28" s="526" t="s">
        <v>57</v>
      </c>
      <c r="D28" s="527"/>
      <c r="E28" s="287">
        <f>(E10*$E3)/$I3</f>
        <v>25</v>
      </c>
      <c r="F28" s="409"/>
      <c r="H28" s="294">
        <v>2040</v>
      </c>
      <c r="I28" s="292"/>
      <c r="J28" s="292"/>
      <c r="M28" s="6"/>
      <c r="O28" s="6"/>
      <c r="P28" s="6"/>
      <c r="Q28" s="6"/>
      <c r="R28" s="6"/>
      <c r="T28" s="309" t="s">
        <v>92</v>
      </c>
      <c r="U28" s="245"/>
      <c r="V28" s="245"/>
      <c r="W28" s="245"/>
    </row>
    <row r="29" spans="2:23" x14ac:dyDescent="0.35">
      <c r="B29" s="510"/>
      <c r="C29" s="511" t="s">
        <v>89</v>
      </c>
      <c r="D29" s="512"/>
      <c r="E29" s="412">
        <f>E14+E15+E16*(E10-1)</f>
        <v>0.38292832022115098</v>
      </c>
      <c r="F29" s="410"/>
      <c r="G29" s="411"/>
      <c r="H29" s="294">
        <v>2041</v>
      </c>
      <c r="I29" s="292"/>
      <c r="J29" s="290" t="s">
        <v>20</v>
      </c>
      <c r="M29" s="6"/>
      <c r="O29" s="6"/>
      <c r="P29" s="6"/>
      <c r="Q29" s="6"/>
      <c r="R29" s="6"/>
      <c r="T29" s="123" t="s">
        <v>93</v>
      </c>
      <c r="U29" s="301">
        <f>(U6-U4)/U5</f>
        <v>0</v>
      </c>
      <c r="V29" s="301">
        <f>(V6-V4)/V5</f>
        <v>-5</v>
      </c>
      <c r="W29" s="301">
        <f>(W6-W4)/W5</f>
        <v>-5</v>
      </c>
    </row>
    <row r="30" spans="2:23" ht="15" thickBot="1" x14ac:dyDescent="0.4">
      <c r="B30" s="515"/>
      <c r="C30" s="526" t="s">
        <v>59</v>
      </c>
      <c r="D30" s="527"/>
      <c r="E30" s="287">
        <f>E29/$I3</f>
        <v>0.19146416011057549</v>
      </c>
      <c r="F30" s="6"/>
      <c r="H30" s="294">
        <v>2042</v>
      </c>
      <c r="I30" s="292"/>
      <c r="J30" s="290"/>
      <c r="M30" s="6"/>
      <c r="O30" s="6"/>
      <c r="P30" s="6"/>
      <c r="Q30" s="6"/>
      <c r="R30" s="6"/>
      <c r="T30" s="253" t="s">
        <v>94</v>
      </c>
      <c r="U30" s="310">
        <f>IFERROR(U4+U5*(_xlfn.NORM.DIST(U29,0,1,FALSE)/(1-_xlfn.NORM.DIST(U29,0,1,TRUE))),U6)</f>
        <v>11.595769121605731</v>
      </c>
      <c r="V30" s="310">
        <f>IFERROR(V4+V5*(_xlfn.NORM.DIST(V29,0,1,FALSE)/(1-_xlfn.NORM.DIST(V29,0,1,TRUE))),V6)</f>
        <v>10.000002973439882</v>
      </c>
      <c r="W30" s="310">
        <f>IFERROR(W4+W5*(_xlfn.NORM.DIST(W29,0,1,FALSE)/(1-_xlfn.NORM.DIST(W29,0,1,TRUE))),W6)</f>
        <v>10.000002973439882</v>
      </c>
    </row>
    <row r="31" spans="2:23" ht="15" thickBot="1" x14ac:dyDescent="0.4">
      <c r="B31" s="1"/>
      <c r="C31" s="6"/>
      <c r="D31" s="6"/>
      <c r="E31" s="6"/>
      <c r="F31" s="6"/>
      <c r="H31" s="294">
        <v>2043</v>
      </c>
      <c r="I31" s="292"/>
      <c r="J31" s="290"/>
      <c r="M31" s="6"/>
      <c r="O31" s="6"/>
      <c r="P31" s="6"/>
      <c r="Q31" s="6"/>
      <c r="R31" s="6"/>
    </row>
    <row r="32" spans="2:23" ht="15" thickBot="1" x14ac:dyDescent="0.4">
      <c r="C32" s="233" t="s">
        <v>111</v>
      </c>
      <c r="D32" s="81"/>
      <c r="E32" s="413">
        <f>(_xlfn.NORM.DIST(E7,$C3,$C3*$D3,TRUE)/E7)*I3</f>
        <v>3.9663813482864248E-2</v>
      </c>
      <c r="F32" s="6"/>
      <c r="H32" s="294">
        <v>2044</v>
      </c>
      <c r="I32" s="290" t="s">
        <v>20</v>
      </c>
      <c r="J32" s="290"/>
      <c r="M32" s="6"/>
      <c r="O32" s="6"/>
      <c r="P32" s="6"/>
      <c r="Q32" s="6"/>
      <c r="R32" s="6"/>
    </row>
    <row r="33" spans="3:17" x14ac:dyDescent="0.35">
      <c r="C33" s="404"/>
      <c r="D33" s="404"/>
      <c r="F33" s="6"/>
      <c r="H33" s="294">
        <v>2045</v>
      </c>
      <c r="I33" s="290"/>
      <c r="J33" s="290"/>
      <c r="M33" s="6"/>
    </row>
    <row r="34" spans="3:17" x14ac:dyDescent="0.35">
      <c r="F34" s="6"/>
      <c r="H34" s="10">
        <v>2046</v>
      </c>
      <c r="I34" s="11"/>
      <c r="J34" s="11"/>
      <c r="M34" s="6"/>
    </row>
    <row r="35" spans="3:17" x14ac:dyDescent="0.35">
      <c r="C35" s="6"/>
      <c r="F35" s="6"/>
      <c r="H35" s="10">
        <v>2047</v>
      </c>
      <c r="I35" s="11"/>
      <c r="J35" s="11"/>
      <c r="M35" s="6"/>
      <c r="N35" s="1"/>
      <c r="O35" s="1"/>
      <c r="P35" s="4"/>
      <c r="Q35" s="4"/>
    </row>
    <row r="36" spans="3:17" x14ac:dyDescent="0.35">
      <c r="E36" s="9"/>
      <c r="F36" s="6"/>
      <c r="H36" s="10">
        <v>2048</v>
      </c>
      <c r="I36" s="11"/>
      <c r="J36" s="11" t="s">
        <v>20</v>
      </c>
      <c r="M36" s="6"/>
      <c r="N36" s="9"/>
      <c r="O36" s="1"/>
      <c r="P36" s="4"/>
      <c r="Q36" s="4"/>
    </row>
    <row r="37" spans="3:17" x14ac:dyDescent="0.35">
      <c r="E37" s="9"/>
      <c r="F37" s="6"/>
      <c r="H37" s="10">
        <v>2049</v>
      </c>
      <c r="I37" s="11"/>
      <c r="J37" s="11"/>
      <c r="M37" s="6"/>
      <c r="N37" s="9"/>
      <c r="O37" s="1"/>
      <c r="P37" s="4"/>
      <c r="Q37" s="4"/>
    </row>
    <row r="38" spans="3:17" x14ac:dyDescent="0.35">
      <c r="F38" s="9"/>
      <c r="H38" s="10">
        <v>2050</v>
      </c>
      <c r="I38" s="11"/>
      <c r="J38" s="11"/>
      <c r="O38" s="2"/>
      <c r="P38" s="2"/>
      <c r="Q38" s="2"/>
    </row>
    <row r="40" spans="3:17" x14ac:dyDescent="0.35">
      <c r="F40" s="9"/>
      <c r="M40" s="9"/>
      <c r="N40" s="9"/>
    </row>
    <row r="42" spans="3:17" x14ac:dyDescent="0.35">
      <c r="D42" s="5"/>
    </row>
    <row r="43" spans="3:17" x14ac:dyDescent="0.35">
      <c r="D43" s="5"/>
    </row>
    <row r="44" spans="3:17" x14ac:dyDescent="0.35">
      <c r="D44" s="5"/>
      <c r="K44" s="3"/>
    </row>
    <row r="45" spans="3:17" x14ac:dyDescent="0.35">
      <c r="K45" s="3"/>
    </row>
    <row r="46" spans="3:17" x14ac:dyDescent="0.35">
      <c r="K46" s="3"/>
      <c r="L46" s="1"/>
      <c r="M46" s="4"/>
      <c r="N46" s="1"/>
      <c r="O46" s="4"/>
      <c r="P46" s="4"/>
      <c r="Q46" s="4"/>
    </row>
    <row r="47" spans="3:17" x14ac:dyDescent="0.35">
      <c r="K47" s="3"/>
      <c r="L47" s="1"/>
      <c r="M47" s="1"/>
      <c r="N47" s="1"/>
      <c r="O47" s="1"/>
      <c r="P47" s="4"/>
      <c r="Q47" s="4"/>
    </row>
    <row r="48" spans="3:17" x14ac:dyDescent="0.35">
      <c r="K48" s="3"/>
      <c r="M48" s="1"/>
      <c r="N48" s="1"/>
      <c r="O48" s="1"/>
      <c r="P48" s="4"/>
      <c r="Q48" s="4"/>
    </row>
    <row r="49" spans="11:17" x14ac:dyDescent="0.35">
      <c r="K49" s="3"/>
      <c r="M49" s="2"/>
      <c r="N49" s="2"/>
      <c r="O49" s="2"/>
      <c r="P49" s="2"/>
      <c r="Q49" s="2"/>
    </row>
    <row r="50" spans="11:17" x14ac:dyDescent="0.35">
      <c r="K50" s="3"/>
    </row>
    <row r="51" spans="11:17" x14ac:dyDescent="0.35">
      <c r="K51" s="3"/>
    </row>
    <row r="52" spans="11:17" x14ac:dyDescent="0.35">
      <c r="K52" s="3"/>
    </row>
    <row r="53" spans="11:17" x14ac:dyDescent="0.35">
      <c r="K53" s="3"/>
    </row>
    <row r="54" spans="11:17" x14ac:dyDescent="0.35">
      <c r="K54" s="3"/>
    </row>
    <row r="55" spans="11:17" x14ac:dyDescent="0.35">
      <c r="K55" s="3"/>
    </row>
    <row r="56" spans="11:17" x14ac:dyDescent="0.35">
      <c r="K56" s="3"/>
    </row>
    <row r="57" spans="11:17" x14ac:dyDescent="0.35">
      <c r="K57" s="3"/>
    </row>
    <row r="58" spans="11:17" x14ac:dyDescent="0.35">
      <c r="K58" s="3"/>
    </row>
    <row r="59" spans="11:17" x14ac:dyDescent="0.35">
      <c r="K59" s="3"/>
    </row>
    <row r="60" spans="11:17" x14ac:dyDescent="0.35">
      <c r="K60" s="3"/>
    </row>
    <row r="61" spans="11:17" x14ac:dyDescent="0.35">
      <c r="K61" s="3"/>
    </row>
    <row r="62" spans="11:17" x14ac:dyDescent="0.35">
      <c r="K62" s="3"/>
    </row>
    <row r="63" spans="11:17" x14ac:dyDescent="0.35">
      <c r="K63" s="3"/>
    </row>
    <row r="64" spans="11:17" x14ac:dyDescent="0.35">
      <c r="K64" s="3"/>
    </row>
    <row r="65" spans="11:11" x14ac:dyDescent="0.35">
      <c r="K65" s="3"/>
    </row>
    <row r="66" spans="11:11" x14ac:dyDescent="0.35">
      <c r="K66" s="3"/>
    </row>
    <row r="67" spans="11:11" x14ac:dyDescent="0.35">
      <c r="K67" s="3"/>
    </row>
    <row r="68" spans="11:11" x14ac:dyDescent="0.35">
      <c r="K68" s="3"/>
    </row>
    <row r="69" spans="11:11" x14ac:dyDescent="0.35">
      <c r="K69" s="3"/>
    </row>
    <row r="70" spans="11:11" x14ac:dyDescent="0.35">
      <c r="K70" s="3"/>
    </row>
  </sheetData>
  <dataConsolidate/>
  <mergeCells count="29">
    <mergeCell ref="T2:W2"/>
    <mergeCell ref="B7:B13"/>
    <mergeCell ref="C7:D7"/>
    <mergeCell ref="C8:D8"/>
    <mergeCell ref="C9:D9"/>
    <mergeCell ref="C10:D10"/>
    <mergeCell ref="C11:D11"/>
    <mergeCell ref="C12:D12"/>
    <mergeCell ref="C13:D13"/>
    <mergeCell ref="B24:B30"/>
    <mergeCell ref="C24:D24"/>
    <mergeCell ref="C25:D25"/>
    <mergeCell ref="C26:D26"/>
    <mergeCell ref="C27:D27"/>
    <mergeCell ref="C28:D28"/>
    <mergeCell ref="C29:D29"/>
    <mergeCell ref="C30:D30"/>
    <mergeCell ref="B14:B16"/>
    <mergeCell ref="C14:D14"/>
    <mergeCell ref="C15:D15"/>
    <mergeCell ref="C16:D16"/>
    <mergeCell ref="B17:B23"/>
    <mergeCell ref="C17:D17"/>
    <mergeCell ref="C18:D18"/>
    <mergeCell ref="C19:D19"/>
    <mergeCell ref="C20:D20"/>
    <mergeCell ref="C21:D21"/>
    <mergeCell ref="C22:D22"/>
    <mergeCell ref="C23:D2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ECC6-0B04-4AB2-AB75-FAE4B5DBD837}">
  <sheetPr>
    <tabColor theme="5"/>
  </sheetPr>
  <dimension ref="B1:N44"/>
  <sheetViews>
    <sheetView workbookViewId="0">
      <selection activeCell="C39" sqref="C39"/>
    </sheetView>
  </sheetViews>
  <sheetFormatPr defaultRowHeight="14.5" x14ac:dyDescent="0.35"/>
  <cols>
    <col min="2" max="2" width="25.453125" bestFit="1" customWidth="1"/>
    <col min="3" max="3" width="10.1796875" customWidth="1"/>
    <col min="4" max="4" width="3.81640625" customWidth="1"/>
    <col min="11" max="11" width="14.26953125" bestFit="1" customWidth="1"/>
  </cols>
  <sheetData>
    <row r="1" spans="2:7" x14ac:dyDescent="0.35">
      <c r="C1" s="220"/>
    </row>
    <row r="2" spans="2:7" ht="15" customHeight="1" x14ac:dyDescent="0.35">
      <c r="B2" s="219" t="s">
        <v>61</v>
      </c>
      <c r="C2" s="221">
        <v>21</v>
      </c>
    </row>
    <row r="3" spans="2:7" x14ac:dyDescent="0.35">
      <c r="B3" s="219" t="s">
        <v>62</v>
      </c>
      <c r="C3" s="221">
        <v>10</v>
      </c>
      <c r="G3" s="26" t="s">
        <v>112</v>
      </c>
    </row>
    <row r="4" spans="2:7" x14ac:dyDescent="0.35">
      <c r="B4" s="219" t="s">
        <v>63</v>
      </c>
      <c r="C4" s="221">
        <v>2</v>
      </c>
      <c r="G4" s="6" t="s">
        <v>113</v>
      </c>
    </row>
    <row r="5" spans="2:7" x14ac:dyDescent="0.35">
      <c r="B5" s="219" t="s">
        <v>15</v>
      </c>
      <c r="C5" s="221">
        <v>10</v>
      </c>
      <c r="G5" s="222" t="s">
        <v>114</v>
      </c>
    </row>
    <row r="6" spans="2:7" x14ac:dyDescent="0.35">
      <c r="B6" s="219" t="s">
        <v>115</v>
      </c>
      <c r="C6" s="231">
        <v>0.8</v>
      </c>
      <c r="G6" s="222" t="s">
        <v>116</v>
      </c>
    </row>
    <row r="7" spans="2:7" x14ac:dyDescent="0.35">
      <c r="B7" s="219" t="s">
        <v>4</v>
      </c>
      <c r="C7" s="327">
        <v>50</v>
      </c>
      <c r="G7" s="222" t="s">
        <v>117</v>
      </c>
    </row>
    <row r="8" spans="2:7" x14ac:dyDescent="0.35">
      <c r="B8" s="219" t="s">
        <v>5</v>
      </c>
      <c r="C8" s="327">
        <v>100</v>
      </c>
      <c r="G8" s="222" t="s">
        <v>118</v>
      </c>
    </row>
    <row r="9" spans="2:7" x14ac:dyDescent="0.35">
      <c r="B9" s="326" t="s">
        <v>119</v>
      </c>
      <c r="C9" s="314">
        <v>50</v>
      </c>
      <c r="G9" s="6" t="s">
        <v>120</v>
      </c>
    </row>
    <row r="10" spans="2:7" x14ac:dyDescent="0.35">
      <c r="B10" s="326" t="s">
        <v>121</v>
      </c>
      <c r="C10" s="314">
        <v>10000</v>
      </c>
      <c r="G10" s="6" t="s">
        <v>122</v>
      </c>
    </row>
    <row r="11" spans="2:7" x14ac:dyDescent="0.35">
      <c r="B11" s="326" t="s">
        <v>64</v>
      </c>
      <c r="C11" s="314">
        <v>20000</v>
      </c>
      <c r="G11" s="80" t="s">
        <v>123</v>
      </c>
    </row>
    <row r="12" spans="2:7" x14ac:dyDescent="0.35">
      <c r="B12" s="3"/>
      <c r="G12" s="80" t="s">
        <v>124</v>
      </c>
    </row>
    <row r="13" spans="2:7" x14ac:dyDescent="0.35">
      <c r="G13" s="80" t="s">
        <v>125</v>
      </c>
    </row>
    <row r="14" spans="2:7" x14ac:dyDescent="0.35">
      <c r="B14" s="223" t="s">
        <v>66</v>
      </c>
      <c r="C14" s="84">
        <f>IF(C5&gt;C3-(2*C4),C44-C5,C3-C5)</f>
        <v>1.5957691216057306</v>
      </c>
      <c r="E14" s="224"/>
      <c r="G14" s="233" t="s">
        <v>126</v>
      </c>
    </row>
    <row r="15" spans="2:7" x14ac:dyDescent="0.35">
      <c r="B15" s="219" t="s">
        <v>68</v>
      </c>
      <c r="C15" s="84" t="str">
        <f>IF(C14&gt;C2,"geen",IF(C14=C2,"halve",IF(C2-C14&gt;=C3,"1,5ofmeer","één")))</f>
        <v>1,5ofmeer</v>
      </c>
      <c r="E15" s="224"/>
      <c r="G15" s="233" t="s">
        <v>127</v>
      </c>
    </row>
    <row r="16" spans="2:7" x14ac:dyDescent="0.35">
      <c r="B16" s="219" t="s">
        <v>70</v>
      </c>
      <c r="C16" s="84">
        <f>TRUNC((C2-C14)/C3)+IF(C14&lt;=C2,1,0)</f>
        <v>2</v>
      </c>
      <c r="E16" s="224"/>
      <c r="G16" s="80" t="s">
        <v>128</v>
      </c>
    </row>
    <row r="17" spans="2:14" x14ac:dyDescent="0.35">
      <c r="B17" s="219" t="s">
        <v>72</v>
      </c>
      <c r="C17" s="84">
        <f>IF(C16=0,0,MOD(C2-C14,C3))</f>
        <v>9.4042308783942694</v>
      </c>
      <c r="E17" s="224"/>
      <c r="G17" s="80" t="s">
        <v>129</v>
      </c>
    </row>
    <row r="18" spans="2:14" x14ac:dyDescent="0.35">
      <c r="B18" s="3"/>
      <c r="G18" s="80"/>
    </row>
    <row r="19" spans="2:14" ht="15" thickBot="1" x14ac:dyDescent="0.4">
      <c r="B19" s="225" t="s">
        <v>74</v>
      </c>
      <c r="C19" s="226">
        <f>SUM(C20:C21)</f>
        <v>0</v>
      </c>
      <c r="E19" s="224"/>
      <c r="G19" s="80"/>
    </row>
    <row r="20" spans="2:14" ht="15" thickTop="1" x14ac:dyDescent="0.35">
      <c r="B20" s="219" t="s">
        <v>75</v>
      </c>
      <c r="C20" s="227" t="str">
        <f>IF(C16&lt;2,(_xlfn.NORM.DIST(C5+C2,C3,C4,TRUE)-_xlfn.NORM.DIST(C5,C3,C4,TRUE))/(1-_xlfn.NORM.DIST(C5,C3,C4,TRUE)),"nvt")</f>
        <v>nvt</v>
      </c>
      <c r="E20" s="224"/>
      <c r="G20" s="380" t="s">
        <v>130</v>
      </c>
      <c r="H20" s="381"/>
      <c r="I20" s="381"/>
      <c r="J20" s="381"/>
      <c r="K20" s="381"/>
      <c r="L20" s="381"/>
      <c r="M20" s="381"/>
      <c r="N20" s="381"/>
    </row>
    <row r="21" spans="2:14" x14ac:dyDescent="0.35">
      <c r="B21" s="219" t="s">
        <v>76</v>
      </c>
      <c r="C21" s="229" t="str">
        <f>IF(C16&lt;2,IF(C17=0,0,_xlfn.NORM.DIST(C17,C3,C4,TRUE)),"nvt")</f>
        <v>nvt</v>
      </c>
      <c r="G21" s="382" t="s">
        <v>131</v>
      </c>
      <c r="H21" s="381"/>
      <c r="I21" s="381"/>
      <c r="J21" s="381"/>
      <c r="K21" s="381"/>
      <c r="L21" s="381"/>
      <c r="M21" s="381"/>
      <c r="N21" s="381"/>
    </row>
    <row r="22" spans="2:14" x14ac:dyDescent="0.35">
      <c r="B22" s="219" t="s">
        <v>132</v>
      </c>
      <c r="C22" s="232">
        <f>C19*(1-C6)</f>
        <v>0</v>
      </c>
      <c r="G22" s="382" t="s">
        <v>133</v>
      </c>
      <c r="H22" s="381"/>
      <c r="I22" s="381"/>
      <c r="J22" s="381"/>
      <c r="K22" s="381"/>
      <c r="L22" s="381"/>
      <c r="M22" s="381"/>
      <c r="N22" s="381"/>
    </row>
    <row r="23" spans="2:14" x14ac:dyDescent="0.35">
      <c r="B23" s="219" t="s">
        <v>134</v>
      </c>
      <c r="C23" s="232">
        <f>C19*C6</f>
        <v>0</v>
      </c>
    </row>
    <row r="25" spans="2:14" ht="15" thickBot="1" x14ac:dyDescent="0.4">
      <c r="B25" s="225" t="s">
        <v>78</v>
      </c>
      <c r="C25" s="226">
        <f>SUM(C26:C28)</f>
        <v>2.3828943486093772</v>
      </c>
      <c r="E25" s="224"/>
    </row>
    <row r="26" spans="2:14" ht="15" thickTop="1" x14ac:dyDescent="0.35">
      <c r="B26" s="219" t="s">
        <v>80</v>
      </c>
      <c r="C26" s="227">
        <f>IF(C16&gt;=2,C16-1,"nvt")</f>
        <v>1</v>
      </c>
      <c r="E26" s="222"/>
      <c r="K26" s="130"/>
    </row>
    <row r="27" spans="2:14" x14ac:dyDescent="0.35">
      <c r="B27" s="219" t="s">
        <v>82</v>
      </c>
      <c r="C27" s="229">
        <f>IF(C16&gt;=2,_xlfn.NORM.DIST(C3+C17,C3,C4,TRUE),"nvt")</f>
        <v>0.99999871260074746</v>
      </c>
      <c r="E27" s="224"/>
      <c r="K27" s="130"/>
    </row>
    <row r="28" spans="2:14" x14ac:dyDescent="0.35">
      <c r="B28" s="219" t="s">
        <v>76</v>
      </c>
      <c r="C28" s="229">
        <f>IF(C16&gt;=2,IF(C17=0,0,_xlfn.NORM.DIST(C17,C3,C4,TRUE)),"nvt")</f>
        <v>0.38289563600862991</v>
      </c>
    </row>
    <row r="29" spans="2:14" x14ac:dyDescent="0.35">
      <c r="B29" s="219" t="s">
        <v>132</v>
      </c>
      <c r="C29" s="232">
        <f>C25*(1-C6)</f>
        <v>0.47657886972187535</v>
      </c>
    </row>
    <row r="30" spans="2:14" x14ac:dyDescent="0.35">
      <c r="B30" s="219" t="s">
        <v>134</v>
      </c>
      <c r="C30" s="232">
        <f>C25*C6</f>
        <v>1.9063154788875019</v>
      </c>
    </row>
    <row r="32" spans="2:14" ht="15" thickBot="1" x14ac:dyDescent="0.4">
      <c r="B32" s="315" t="s">
        <v>87</v>
      </c>
    </row>
    <row r="33" spans="2:6" x14ac:dyDescent="0.35">
      <c r="B33" s="316" t="s">
        <v>58</v>
      </c>
      <c r="C33" s="320">
        <f>IF(C16&lt;2,C22,C29)</f>
        <v>0.47657886972187535</v>
      </c>
    </row>
    <row r="34" spans="2:6" x14ac:dyDescent="0.35">
      <c r="B34" s="306" t="s">
        <v>59</v>
      </c>
      <c r="C34" s="324">
        <f>C33/C2</f>
        <v>2.2694231891517876E-2</v>
      </c>
    </row>
    <row r="35" spans="2:6" ht="15" thickBot="1" x14ac:dyDescent="0.4">
      <c r="B35" s="325" t="s">
        <v>134</v>
      </c>
      <c r="C35" s="385">
        <f>IF(C16&lt;2,C23,C30)</f>
        <v>1.9063154788875019</v>
      </c>
    </row>
    <row r="36" spans="2:6" x14ac:dyDescent="0.35">
      <c r="B36" s="316" t="s">
        <v>90</v>
      </c>
      <c r="C36" s="259">
        <f>C33*C8</f>
        <v>47.657886972187534</v>
      </c>
    </row>
    <row r="37" spans="2:6" x14ac:dyDescent="0.35">
      <c r="B37" s="306" t="s">
        <v>135</v>
      </c>
      <c r="C37" s="328">
        <f>C35*C7</f>
        <v>95.315773944375096</v>
      </c>
    </row>
    <row r="38" spans="2:6" x14ac:dyDescent="0.35">
      <c r="B38" s="306" t="s">
        <v>91</v>
      </c>
      <c r="C38" s="329">
        <f>C33*C11</f>
        <v>9531.5773944375069</v>
      </c>
    </row>
    <row r="39" spans="2:6" ht="15" thickBot="1" x14ac:dyDescent="0.4">
      <c r="B39" s="317" t="s">
        <v>136</v>
      </c>
      <c r="C39" s="330">
        <f>C35*C10+C9*C2</f>
        <v>20113.154788875017</v>
      </c>
    </row>
    <row r="40" spans="2:6" x14ac:dyDescent="0.35">
      <c r="B40" s="81"/>
      <c r="C40" s="313"/>
      <c r="F40" s="80"/>
    </row>
    <row r="41" spans="2:6" x14ac:dyDescent="0.35">
      <c r="C41" s="230"/>
    </row>
    <row r="42" spans="2:6" x14ac:dyDescent="0.35">
      <c r="B42" s="83" t="s">
        <v>92</v>
      </c>
    </row>
    <row r="43" spans="2:6" x14ac:dyDescent="0.35">
      <c r="B43" t="s">
        <v>93</v>
      </c>
      <c r="C43" s="84">
        <f>(C5-C3)/C4</f>
        <v>0</v>
      </c>
    </row>
    <row r="44" spans="2:6" x14ac:dyDescent="0.35">
      <c r="B44" t="s">
        <v>94</v>
      </c>
      <c r="C44" s="84">
        <f>IFERROR(C3+C4*(_xlfn.NORM.DIST(C43,0,1,FALSE)/(1-_xlfn.NORM.DIST(C43,0,1,TRUE))),C5)</f>
        <v>11.595769121605731</v>
      </c>
      <c r="E44" s="224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5EB2-C154-4DFC-93F9-8DD304A5B51A}">
  <sheetPr>
    <tabColor theme="5"/>
  </sheetPr>
  <dimension ref="B2:R42"/>
  <sheetViews>
    <sheetView workbookViewId="0">
      <selection activeCell="E26" sqref="E26"/>
    </sheetView>
  </sheetViews>
  <sheetFormatPr defaultRowHeight="14.5" x14ac:dyDescent="0.35"/>
  <cols>
    <col min="2" max="2" width="26.7265625" bestFit="1" customWidth="1"/>
    <col min="3" max="3" width="11.81640625" bestFit="1" customWidth="1"/>
    <col min="5" max="5" width="14.26953125" customWidth="1"/>
    <col min="6" max="6" width="7.81640625" customWidth="1"/>
    <col min="7" max="7" width="14.26953125" customWidth="1"/>
    <col min="8" max="8" width="15.453125" bestFit="1" customWidth="1"/>
    <col min="17" max="17" width="11.81640625" bestFit="1" customWidth="1"/>
    <col min="18" max="18" width="8.7265625" customWidth="1"/>
  </cols>
  <sheetData>
    <row r="2" spans="2:18" x14ac:dyDescent="0.35">
      <c r="B2" s="219" t="s">
        <v>61</v>
      </c>
      <c r="C2" s="221">
        <v>21</v>
      </c>
      <c r="D2" s="254"/>
      <c r="I2" s="83" t="s">
        <v>137</v>
      </c>
    </row>
    <row r="3" spans="2:18" x14ac:dyDescent="0.35">
      <c r="B3" s="219" t="s">
        <v>62</v>
      </c>
      <c r="C3" s="221">
        <v>10</v>
      </c>
      <c r="D3" s="254" t="s">
        <v>138</v>
      </c>
      <c r="E3">
        <f>1/(C3*8760)</f>
        <v>1.1415525114155251E-5</v>
      </c>
      <c r="F3" t="s">
        <v>139</v>
      </c>
      <c r="I3" t="s">
        <v>140</v>
      </c>
    </row>
    <row r="4" spans="2:18" x14ac:dyDescent="0.35">
      <c r="B4" s="219" t="s">
        <v>141</v>
      </c>
      <c r="C4" s="221" t="s">
        <v>142</v>
      </c>
      <c r="I4" t="s">
        <v>143</v>
      </c>
    </row>
    <row r="5" spans="2:18" x14ac:dyDescent="0.35">
      <c r="B5" s="219" t="s">
        <v>144</v>
      </c>
      <c r="C5" s="221">
        <v>0.2</v>
      </c>
      <c r="D5" s="254" t="s">
        <v>138</v>
      </c>
      <c r="E5">
        <f>C5*8760</f>
        <v>1752</v>
      </c>
      <c r="F5" t="s">
        <v>145</v>
      </c>
      <c r="I5" t="s">
        <v>146</v>
      </c>
    </row>
    <row r="6" spans="2:18" x14ac:dyDescent="0.35">
      <c r="B6" s="219" t="s">
        <v>5</v>
      </c>
      <c r="C6" s="221">
        <v>168</v>
      </c>
      <c r="D6" s="254" t="s">
        <v>138</v>
      </c>
      <c r="E6">
        <f>C6/8760</f>
        <v>1.9178082191780823E-2</v>
      </c>
      <c r="F6" t="s">
        <v>147</v>
      </c>
      <c r="I6" t="s">
        <v>148</v>
      </c>
    </row>
    <row r="7" spans="2:18" x14ac:dyDescent="0.35">
      <c r="B7" s="219" t="s">
        <v>149</v>
      </c>
      <c r="C7" s="314">
        <v>0</v>
      </c>
      <c r="D7" s="254"/>
    </row>
    <row r="8" spans="2:18" x14ac:dyDescent="0.35">
      <c r="B8" s="219" t="s">
        <v>64</v>
      </c>
      <c r="C8" s="314">
        <v>20000</v>
      </c>
    </row>
    <row r="10" spans="2:18" ht="15" thickBot="1" x14ac:dyDescent="0.4">
      <c r="B10" s="435" t="s">
        <v>150</v>
      </c>
      <c r="C10" s="355"/>
      <c r="D10" s="355"/>
      <c r="E10" s="356"/>
      <c r="I10" s="224"/>
    </row>
    <row r="11" spans="2:18" ht="15" thickBot="1" x14ac:dyDescent="0.4">
      <c r="B11" s="240" t="s">
        <v>151</v>
      </c>
      <c r="C11" s="241"/>
      <c r="D11" s="241"/>
      <c r="E11" s="242" t="s">
        <v>152</v>
      </c>
      <c r="F11" s="241"/>
      <c r="G11" s="241"/>
      <c r="H11" s="241"/>
      <c r="I11" s="243" t="s">
        <v>153</v>
      </c>
      <c r="J11" s="241"/>
      <c r="K11" s="241"/>
      <c r="L11" s="241"/>
      <c r="M11" s="241"/>
      <c r="N11" s="241"/>
      <c r="O11" s="241"/>
      <c r="P11" s="241"/>
      <c r="Q11" s="241"/>
      <c r="R11" s="244"/>
    </row>
    <row r="12" spans="2:18" x14ac:dyDescent="0.35">
      <c r="B12" s="239" t="s">
        <v>89</v>
      </c>
      <c r="C12" s="433" t="str">
        <f>IF(C4="n",C2/(C3+E6),"nvt")</f>
        <v>nvt</v>
      </c>
      <c r="E12" s="337" t="s">
        <v>154</v>
      </c>
      <c r="G12" s="337" t="s">
        <v>155</v>
      </c>
      <c r="I12" s="222" t="s">
        <v>156</v>
      </c>
      <c r="R12" s="245"/>
    </row>
    <row r="13" spans="2:18" x14ac:dyDescent="0.35">
      <c r="B13" s="239" t="s">
        <v>90</v>
      </c>
      <c r="C13" s="433" t="str">
        <f>IF(C4="n",C6*C12,"nvt")</f>
        <v>nvt</v>
      </c>
      <c r="E13" s="431" t="str">
        <f>IF(C4="n",E6/(C3+E6),"nvt")</f>
        <v>nvt</v>
      </c>
      <c r="F13" s="331"/>
      <c r="G13" s="431" t="str">
        <f>IF(C4="n",C13/(C2*8760),"nvt")</f>
        <v>nvt</v>
      </c>
      <c r="H13" s="332" t="s">
        <v>157</v>
      </c>
      <c r="I13" s="222" t="s">
        <v>158</v>
      </c>
      <c r="R13" s="245"/>
    </row>
    <row r="14" spans="2:18" ht="15" thickBot="1" x14ac:dyDescent="0.4">
      <c r="B14" s="239" t="s">
        <v>159</v>
      </c>
      <c r="C14" s="487" t="str">
        <f>IF(C4="n",C8*C12,"nvt")</f>
        <v>nvt</v>
      </c>
      <c r="E14" s="432" t="str">
        <f>IF(C4="n",E3*(1-E13),"nvt")</f>
        <v>nvt</v>
      </c>
      <c r="F14" s="331"/>
      <c r="G14" s="432" t="str">
        <f>IF(C4="n",C12/(C2*8760),"nvt")</f>
        <v>nvt</v>
      </c>
      <c r="H14" s="332" t="s">
        <v>160</v>
      </c>
      <c r="I14" s="222"/>
      <c r="R14" s="245"/>
    </row>
    <row r="15" spans="2:18" ht="15" thickBot="1" x14ac:dyDescent="0.4">
      <c r="B15" s="252"/>
      <c r="C15" s="442"/>
      <c r="D15" s="246"/>
      <c r="E15" s="441"/>
      <c r="F15" s="246"/>
      <c r="G15" s="248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7"/>
    </row>
    <row r="16" spans="2:18" x14ac:dyDescent="0.35">
      <c r="B16" s="233"/>
      <c r="C16" s="336"/>
      <c r="E16" s="85"/>
      <c r="G16" s="85"/>
    </row>
    <row r="17" spans="2:18" ht="15" thickBot="1" x14ac:dyDescent="0.4"/>
    <row r="18" spans="2:18" x14ac:dyDescent="0.35">
      <c r="B18" s="143" t="s">
        <v>161</v>
      </c>
      <c r="C18" s="241"/>
      <c r="D18" s="241"/>
      <c r="E18" s="241"/>
      <c r="F18" s="241"/>
      <c r="G18" s="241"/>
      <c r="H18" s="241"/>
      <c r="I18" s="243" t="s">
        <v>162</v>
      </c>
      <c r="J18" s="241"/>
      <c r="K18" s="241"/>
      <c r="L18" s="241"/>
      <c r="M18" s="241"/>
      <c r="N18" s="241"/>
      <c r="O18" s="241"/>
      <c r="P18" s="241"/>
      <c r="Q18" s="241"/>
      <c r="R18" s="244"/>
    </row>
    <row r="19" spans="2:18" x14ac:dyDescent="0.35">
      <c r="B19" s="249" t="s">
        <v>163</v>
      </c>
      <c r="C19" s="235">
        <f>IF(C4="j",TRUNC(C2/(C5+C21*E6)),"nvt")</f>
        <v>104</v>
      </c>
      <c r="I19" s="222" t="s">
        <v>164</v>
      </c>
      <c r="R19" s="245"/>
    </row>
    <row r="20" spans="2:18" x14ac:dyDescent="0.35">
      <c r="B20" s="249" t="s">
        <v>165</v>
      </c>
      <c r="C20" s="257">
        <f>IF(C4="j",MOD(C2,C5+C21*E6),"nvt")</f>
        <v>0.16050584703374549</v>
      </c>
      <c r="R20" s="245"/>
    </row>
    <row r="21" spans="2:18" x14ac:dyDescent="0.35">
      <c r="B21" s="249" t="s">
        <v>166</v>
      </c>
      <c r="C21" s="234">
        <f>IF(C4="j",_xlfn.EXPON.DIST(C5,1/C3,TRUE),"nvt")</f>
        <v>1.9801326693244702E-2</v>
      </c>
      <c r="R21" s="245"/>
    </row>
    <row r="22" spans="2:18" x14ac:dyDescent="0.35">
      <c r="B22" s="249" t="s">
        <v>167</v>
      </c>
      <c r="C22" s="234">
        <f>IF(C4="j",_xlfn.EXPON.DIST(C20,1/C3,TRUE),"nvt")</f>
        <v>1.5922460474205397E-2</v>
      </c>
      <c r="R22" s="245"/>
    </row>
    <row r="23" spans="2:18" x14ac:dyDescent="0.35">
      <c r="B23" s="249" t="s">
        <v>168</v>
      </c>
      <c r="C23" s="234">
        <f>IF(C4="j",1-((C3-C5*(EXP((1/C3)*C5)-1)^-1)/C5),"nvt")</f>
        <v>0.50166665555574497</v>
      </c>
      <c r="I23" s="224"/>
      <c r="R23" s="245"/>
    </row>
    <row r="24" spans="2:18" ht="15" thickBot="1" x14ac:dyDescent="0.4">
      <c r="B24" s="258" t="s">
        <v>169</v>
      </c>
      <c r="C24" s="234">
        <f>IF(C4="j",1-((C3-C20*(EXP((1/C3)*C20)-1)^-1)/C20),"nvt")</f>
        <v>0.50133754298221889</v>
      </c>
      <c r="E24" s="83" t="s">
        <v>170</v>
      </c>
      <c r="I24" s="224" t="s">
        <v>171</v>
      </c>
      <c r="R24" s="245"/>
    </row>
    <row r="25" spans="2:18" x14ac:dyDescent="0.35">
      <c r="B25" s="123"/>
      <c r="E25" s="333" t="s">
        <v>154</v>
      </c>
      <c r="G25" s="333" t="s">
        <v>155</v>
      </c>
      <c r="R25" s="245"/>
    </row>
    <row r="26" spans="2:18" x14ac:dyDescent="0.35">
      <c r="B26" s="249" t="s">
        <v>89</v>
      </c>
      <c r="C26" s="234">
        <f>IF(C4="j",C19*C21+C22,"nvt")</f>
        <v>2.075260436571654</v>
      </c>
      <c r="E26" s="434">
        <f>IF(C4="j",(E3*E5-(1-EXP(-E3*E5))+(E3*C6*(1-EXP(-E3*E5))))/(E3*E5+(E3*C6*(1-EXP(-E3*E5)))),"nvt")</f>
        <v>1.1809998370650674E-2</v>
      </c>
      <c r="F26" s="331"/>
      <c r="G26" s="334">
        <f>IF(C4="j",C27/(C2*8760),"nvt")</f>
        <v>1.1795285549483914E-2</v>
      </c>
      <c r="H26" s="332" t="s">
        <v>157</v>
      </c>
      <c r="R26" s="245"/>
    </row>
    <row r="27" spans="2:18" ht="15" thickBot="1" x14ac:dyDescent="0.4">
      <c r="B27" s="239" t="s">
        <v>90</v>
      </c>
      <c r="C27" s="492">
        <f>IF(C4="j",((C19*C23*C5*C21)+(C24*C22*C20)+(C26*(C6/8760)))*8760,"nvt")</f>
        <v>2169.860729683061</v>
      </c>
      <c r="E27" s="335">
        <f>IF(C4="j",E3*(1-E26),"nvt")</f>
        <v>1.1280707781156956E-5</v>
      </c>
      <c r="F27" s="331"/>
      <c r="G27" s="335">
        <f>IF(C4="j",C26/(C2*8760),"nvt")</f>
        <v>1.1281041729569765E-5</v>
      </c>
      <c r="H27" s="332" t="s">
        <v>160</v>
      </c>
      <c r="R27" s="245"/>
    </row>
    <row r="28" spans="2:18" x14ac:dyDescent="0.35">
      <c r="B28" s="239" t="s">
        <v>159</v>
      </c>
      <c r="C28" s="488">
        <f>IF(C4="j",C19*C7+C26*C8,"nvt")</f>
        <v>41505.208731433078</v>
      </c>
      <c r="R28" s="245"/>
    </row>
    <row r="29" spans="2:18" x14ac:dyDescent="0.35">
      <c r="B29" s="123"/>
      <c r="E29" s="490">
        <f>IF(C4="j",E26*C2*8760,"nvt")</f>
        <v>2172.5673002648982</v>
      </c>
      <c r="F29" s="11" t="s">
        <v>90</v>
      </c>
      <c r="G29" s="11"/>
      <c r="R29" s="245"/>
    </row>
    <row r="30" spans="2:18" x14ac:dyDescent="0.35">
      <c r="B30" s="123"/>
      <c r="E30" s="489">
        <f>IF(C4="j",(1/C3)*C2*(1-E26),"nvt")</f>
        <v>2.0751990034216337</v>
      </c>
      <c r="F30" s="11" t="s">
        <v>89</v>
      </c>
      <c r="G30" s="11"/>
      <c r="R30" s="245"/>
    </row>
    <row r="31" spans="2:18" x14ac:dyDescent="0.35">
      <c r="B31" s="123"/>
      <c r="E31" s="487">
        <f>IF(C4="j",E30*C8+TRUNC(C2/C5)*C7,"nvt")</f>
        <v>41503.980068432676</v>
      </c>
      <c r="F31" s="11" t="s">
        <v>159</v>
      </c>
      <c r="G31" s="11"/>
      <c r="R31" s="245"/>
    </row>
    <row r="32" spans="2:18" ht="15" thickBot="1" x14ac:dyDescent="0.4">
      <c r="B32" s="253"/>
      <c r="C32" s="24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7"/>
    </row>
    <row r="34" spans="2:7" x14ac:dyDescent="0.35">
      <c r="B34" t="s">
        <v>98</v>
      </c>
    </row>
    <row r="35" spans="2:7" x14ac:dyDescent="0.35">
      <c r="B35" s="250" t="s">
        <v>172</v>
      </c>
      <c r="G35" s="491"/>
    </row>
    <row r="41" spans="2:7" x14ac:dyDescent="0.35">
      <c r="F41" s="251" t="s">
        <v>173</v>
      </c>
      <c r="G41" t="s">
        <v>174</v>
      </c>
    </row>
    <row r="42" spans="2:7" x14ac:dyDescent="0.35">
      <c r="F42" s="251" t="s">
        <v>175</v>
      </c>
      <c r="G42" t="s">
        <v>176</v>
      </c>
    </row>
  </sheetData>
  <dataValidations disablePrompts="1" count="1">
    <dataValidation type="list" allowBlank="1" showInputMessage="1" showErrorMessage="1" sqref="C4" xr:uid="{41D8523E-1D62-40EA-A1B8-7960926B466C}">
      <formula1>"n,j"</formula1>
    </dataValidation>
  </dataValidations>
  <hyperlinks>
    <hyperlink ref="B35" r:id="rId1" xr:uid="{2FAB7DB1-4139-4176-BBA2-5716BF7D8FA4}"/>
  </hyperlinks>
  <pageMargins left="0.7" right="0.7" top="0.75" bottom="0.75" header="0.3" footer="0.3"/>
  <pageSetup paperSize="9" orientation="portrait" horizontalDpi="0" verticalDpi="0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DD12-77E3-4CD5-BDB5-B5B551D1BF62}">
  <dimension ref="A1:AB37"/>
  <sheetViews>
    <sheetView workbookViewId="0">
      <pane xSplit="2" topLeftCell="C1" activePane="topRight" state="frozen"/>
      <selection pane="topRight"/>
    </sheetView>
  </sheetViews>
  <sheetFormatPr defaultRowHeight="14.5" x14ac:dyDescent="0.35"/>
  <cols>
    <col min="1" max="1" width="18.54296875" customWidth="1"/>
    <col min="2" max="2" width="21.26953125" bestFit="1" customWidth="1"/>
    <col min="12" max="12" width="2.7265625" customWidth="1"/>
    <col min="21" max="21" width="2.81640625" customWidth="1"/>
    <col min="28" max="28" width="10.1796875" customWidth="1"/>
  </cols>
  <sheetData>
    <row r="1" spans="1:28" ht="15" thickBot="1" x14ac:dyDescent="0.4">
      <c r="C1" t="s">
        <v>177</v>
      </c>
    </row>
    <row r="2" spans="1:28" ht="15" thickBot="1" x14ac:dyDescent="0.4">
      <c r="M2" s="544" t="s">
        <v>178</v>
      </c>
      <c r="N2" s="545"/>
      <c r="O2" s="545"/>
      <c r="P2" s="545"/>
      <c r="Q2" s="545"/>
      <c r="R2" s="545"/>
      <c r="S2" s="545"/>
      <c r="T2" s="546"/>
      <c r="V2" s="544" t="s">
        <v>179</v>
      </c>
      <c r="W2" s="545"/>
      <c r="X2" s="545"/>
      <c r="Y2" s="545"/>
      <c r="Z2" s="545"/>
      <c r="AA2" s="545"/>
      <c r="AB2" s="546"/>
    </row>
    <row r="3" spans="1:28" ht="15" thickBot="1" x14ac:dyDescent="0.4">
      <c r="B3" s="143" t="s">
        <v>180</v>
      </c>
      <c r="C3" s="144">
        <v>1</v>
      </c>
      <c r="D3" s="145">
        <v>2</v>
      </c>
      <c r="E3" s="146">
        <v>3</v>
      </c>
      <c r="F3" s="121">
        <v>4</v>
      </c>
      <c r="G3" s="122">
        <v>5</v>
      </c>
      <c r="H3" s="120">
        <v>6</v>
      </c>
      <c r="I3" s="122">
        <v>7</v>
      </c>
      <c r="J3" s="120">
        <v>8</v>
      </c>
      <c r="K3" s="140">
        <v>9</v>
      </c>
      <c r="L3" s="176"/>
      <c r="M3" s="182">
        <v>10</v>
      </c>
      <c r="N3" s="168">
        <v>11</v>
      </c>
      <c r="O3" s="169">
        <v>12</v>
      </c>
      <c r="P3" s="169">
        <v>13</v>
      </c>
      <c r="Q3" s="170">
        <v>14</v>
      </c>
      <c r="R3" s="170">
        <v>15</v>
      </c>
      <c r="S3" s="171">
        <v>16</v>
      </c>
      <c r="T3" s="183">
        <v>17</v>
      </c>
      <c r="U3" s="176"/>
      <c r="V3" s="190">
        <v>17</v>
      </c>
      <c r="W3" s="172">
        <v>18</v>
      </c>
      <c r="X3" s="173">
        <v>19</v>
      </c>
      <c r="Y3" s="173">
        <v>20</v>
      </c>
      <c r="Z3" s="173">
        <v>21</v>
      </c>
      <c r="AA3" s="174">
        <v>22</v>
      </c>
      <c r="AB3" s="175">
        <v>23</v>
      </c>
    </row>
    <row r="4" spans="1:28" x14ac:dyDescent="0.35">
      <c r="A4" s="83" t="s">
        <v>181</v>
      </c>
      <c r="B4" s="96" t="s">
        <v>182</v>
      </c>
      <c r="C4" s="147">
        <v>21</v>
      </c>
      <c r="D4" s="139">
        <v>4</v>
      </c>
      <c r="E4" s="148">
        <v>4</v>
      </c>
      <c r="F4" s="149">
        <v>33</v>
      </c>
      <c r="G4" s="150">
        <v>33</v>
      </c>
      <c r="H4" s="86">
        <v>33</v>
      </c>
      <c r="I4" s="139">
        <v>3</v>
      </c>
      <c r="J4" s="139">
        <v>5</v>
      </c>
      <c r="K4" s="151">
        <v>5</v>
      </c>
      <c r="L4" s="177"/>
      <c r="M4" s="184">
        <v>5</v>
      </c>
      <c r="N4" s="152">
        <v>5</v>
      </c>
      <c r="O4" s="152">
        <v>5</v>
      </c>
      <c r="P4" s="152">
        <v>5</v>
      </c>
      <c r="Q4" s="152">
        <v>5</v>
      </c>
      <c r="R4" s="152">
        <v>5</v>
      </c>
      <c r="S4" s="152">
        <v>5</v>
      </c>
      <c r="T4" s="153">
        <v>5</v>
      </c>
      <c r="U4" s="177"/>
      <c r="V4" s="184">
        <v>10</v>
      </c>
      <c r="W4" s="152">
        <v>10</v>
      </c>
      <c r="X4" s="152">
        <v>10</v>
      </c>
      <c r="Y4" s="152">
        <v>10</v>
      </c>
      <c r="Z4" s="152">
        <v>10</v>
      </c>
      <c r="AA4" s="152">
        <v>10</v>
      </c>
      <c r="AB4" s="153">
        <v>10</v>
      </c>
    </row>
    <row r="5" spans="1:28" x14ac:dyDescent="0.35">
      <c r="B5" s="97" t="s">
        <v>183</v>
      </c>
      <c r="C5" s="99">
        <v>10</v>
      </c>
      <c r="D5" s="91">
        <v>10</v>
      </c>
      <c r="E5" s="101">
        <v>5</v>
      </c>
      <c r="F5" s="104">
        <v>12</v>
      </c>
      <c r="G5" s="87">
        <v>12</v>
      </c>
      <c r="H5" s="84">
        <v>12</v>
      </c>
      <c r="I5" s="87">
        <v>12</v>
      </c>
      <c r="J5" s="84">
        <v>12</v>
      </c>
      <c r="K5" s="141">
        <v>10</v>
      </c>
      <c r="L5" s="178"/>
      <c r="M5" s="185">
        <v>15</v>
      </c>
      <c r="N5" s="137">
        <v>15</v>
      </c>
      <c r="O5" s="137">
        <v>18</v>
      </c>
      <c r="P5" s="137">
        <v>18</v>
      </c>
      <c r="Q5" s="137">
        <v>3</v>
      </c>
      <c r="R5" s="137">
        <v>3</v>
      </c>
      <c r="S5" s="137">
        <v>45</v>
      </c>
      <c r="T5" s="154">
        <v>45</v>
      </c>
      <c r="U5" s="178"/>
      <c r="V5" s="185">
        <v>18</v>
      </c>
      <c r="W5" s="137">
        <v>18</v>
      </c>
      <c r="X5" s="137">
        <v>35</v>
      </c>
      <c r="Y5" s="137">
        <v>35</v>
      </c>
      <c r="Z5" s="137">
        <v>35</v>
      </c>
      <c r="AA5" s="137">
        <v>65</v>
      </c>
      <c r="AB5" s="154">
        <v>65</v>
      </c>
    </row>
    <row r="6" spans="1:28" x14ac:dyDescent="0.35">
      <c r="B6" s="97" t="s">
        <v>184</v>
      </c>
      <c r="C6" s="99">
        <v>2</v>
      </c>
      <c r="D6" s="91">
        <v>2</v>
      </c>
      <c r="E6" s="101">
        <v>1</v>
      </c>
      <c r="F6" s="104">
        <v>3</v>
      </c>
      <c r="G6" s="87">
        <v>3</v>
      </c>
      <c r="H6" s="84">
        <v>3</v>
      </c>
      <c r="I6" s="87">
        <v>3</v>
      </c>
      <c r="J6" s="84">
        <v>3</v>
      </c>
      <c r="K6" s="141">
        <v>2</v>
      </c>
      <c r="L6" s="178"/>
      <c r="M6" s="185">
        <f>M5-0.8*M5</f>
        <v>3</v>
      </c>
      <c r="N6" s="137">
        <f t="shared" ref="N6:R6" si="0">N5-0.8*N5</f>
        <v>3</v>
      </c>
      <c r="O6" s="137">
        <f t="shared" si="0"/>
        <v>3.5999999999999996</v>
      </c>
      <c r="P6" s="137">
        <f t="shared" si="0"/>
        <v>3.5999999999999996</v>
      </c>
      <c r="Q6" s="137">
        <f t="shared" si="0"/>
        <v>0.59999999999999964</v>
      </c>
      <c r="R6" s="137">
        <f t="shared" si="0"/>
        <v>0.59999999999999964</v>
      </c>
      <c r="S6" s="137">
        <f>S5-0.9*S5</f>
        <v>4.5</v>
      </c>
      <c r="T6" s="154">
        <f>T5-0.9*T5</f>
        <v>4.5</v>
      </c>
      <c r="U6" s="178"/>
      <c r="V6" s="185">
        <f t="shared" ref="V6:Z6" si="1">V5-0.8*V5</f>
        <v>3.5999999999999996</v>
      </c>
      <c r="W6" s="137">
        <f t="shared" si="1"/>
        <v>3.5999999999999996</v>
      </c>
      <c r="X6" s="137">
        <f t="shared" si="1"/>
        <v>7</v>
      </c>
      <c r="Y6" s="137">
        <f t="shared" si="1"/>
        <v>7</v>
      </c>
      <c r="Z6" s="137">
        <f t="shared" si="1"/>
        <v>7</v>
      </c>
      <c r="AA6" s="137">
        <f>AA5-0.9*AA5</f>
        <v>6.5</v>
      </c>
      <c r="AB6" s="154">
        <f>AB5-0.9*AB5</f>
        <v>6.5</v>
      </c>
    </row>
    <row r="7" spans="1:28" x14ac:dyDescent="0.35">
      <c r="B7" s="97" t="s">
        <v>16</v>
      </c>
      <c r="C7" s="99">
        <v>10</v>
      </c>
      <c r="D7" s="91">
        <v>10</v>
      </c>
      <c r="E7" s="101">
        <v>5</v>
      </c>
      <c r="F7" s="104">
        <v>12</v>
      </c>
      <c r="G7" s="87">
        <v>12</v>
      </c>
      <c r="H7" s="92">
        <v>18</v>
      </c>
      <c r="I7" s="87">
        <v>12</v>
      </c>
      <c r="J7" s="84">
        <v>12</v>
      </c>
      <c r="K7" s="141">
        <v>10</v>
      </c>
      <c r="L7" s="178"/>
      <c r="M7" s="185">
        <v>12</v>
      </c>
      <c r="N7" s="137">
        <v>12</v>
      </c>
      <c r="O7" s="137">
        <v>16</v>
      </c>
      <c r="P7" s="137">
        <v>16</v>
      </c>
      <c r="Q7" s="137">
        <v>2</v>
      </c>
      <c r="R7" s="137">
        <v>2</v>
      </c>
      <c r="S7" s="137">
        <v>43</v>
      </c>
      <c r="T7" s="154">
        <v>43</v>
      </c>
      <c r="U7" s="178"/>
      <c r="V7" s="185">
        <v>14</v>
      </c>
      <c r="W7" s="137">
        <v>14</v>
      </c>
      <c r="X7" s="137">
        <v>30</v>
      </c>
      <c r="Y7" s="137">
        <v>30</v>
      </c>
      <c r="Z7" s="137">
        <v>30</v>
      </c>
      <c r="AA7" s="137">
        <v>60</v>
      </c>
      <c r="AB7" s="154">
        <v>60</v>
      </c>
    </row>
    <row r="8" spans="1:28" x14ac:dyDescent="0.35">
      <c r="B8" s="97" t="s">
        <v>185</v>
      </c>
      <c r="C8" s="99">
        <v>5</v>
      </c>
      <c r="D8" s="91">
        <v>5</v>
      </c>
      <c r="E8" s="100">
        <v>5</v>
      </c>
      <c r="F8" s="104">
        <v>8</v>
      </c>
      <c r="G8" s="87">
        <v>8</v>
      </c>
      <c r="H8" s="84">
        <v>8</v>
      </c>
      <c r="I8" s="87">
        <v>8</v>
      </c>
      <c r="J8" s="92">
        <v>10</v>
      </c>
      <c r="K8" s="141">
        <v>5</v>
      </c>
      <c r="L8" s="178"/>
      <c r="M8" s="185">
        <v>10</v>
      </c>
      <c r="N8" s="137">
        <v>10</v>
      </c>
      <c r="O8" s="137">
        <v>15</v>
      </c>
      <c r="P8" s="137">
        <v>15</v>
      </c>
      <c r="Q8" s="137">
        <v>0</v>
      </c>
      <c r="R8" s="137">
        <v>0</v>
      </c>
      <c r="S8" s="137">
        <v>41</v>
      </c>
      <c r="T8" s="154">
        <v>41</v>
      </c>
      <c r="U8" s="178"/>
      <c r="V8" s="185">
        <v>7</v>
      </c>
      <c r="W8" s="137">
        <v>7</v>
      </c>
      <c r="X8" s="137">
        <v>23</v>
      </c>
      <c r="Y8" s="137">
        <v>23</v>
      </c>
      <c r="Z8" s="137">
        <v>23</v>
      </c>
      <c r="AA8" s="137">
        <v>55</v>
      </c>
      <c r="AB8" s="154">
        <v>55</v>
      </c>
    </row>
    <row r="9" spans="1:28" x14ac:dyDescent="0.35">
      <c r="B9" s="97" t="s">
        <v>186</v>
      </c>
      <c r="C9" s="99">
        <v>0</v>
      </c>
      <c r="D9" s="91">
        <v>0</v>
      </c>
      <c r="E9" s="100">
        <v>0</v>
      </c>
      <c r="F9" s="104">
        <v>0</v>
      </c>
      <c r="G9" s="92">
        <v>6</v>
      </c>
      <c r="H9" s="84">
        <v>0</v>
      </c>
      <c r="I9" s="87">
        <v>0</v>
      </c>
      <c r="J9" s="92">
        <v>2</v>
      </c>
      <c r="K9" s="141">
        <v>0</v>
      </c>
      <c r="L9" s="178"/>
      <c r="M9" s="185">
        <v>0</v>
      </c>
      <c r="N9" s="137">
        <v>3</v>
      </c>
      <c r="O9" s="137">
        <v>0</v>
      </c>
      <c r="P9" s="137">
        <v>5</v>
      </c>
      <c r="Q9" s="137">
        <v>0</v>
      </c>
      <c r="R9" s="137">
        <v>3</v>
      </c>
      <c r="S9" s="137">
        <v>-2</v>
      </c>
      <c r="T9" s="154">
        <v>2</v>
      </c>
      <c r="U9" s="178"/>
      <c r="V9" s="185">
        <v>0</v>
      </c>
      <c r="W9" s="137">
        <v>2</v>
      </c>
      <c r="X9" s="137">
        <v>0</v>
      </c>
      <c r="Y9" s="137">
        <v>-2</v>
      </c>
      <c r="Z9" s="137">
        <v>3</v>
      </c>
      <c r="AA9" s="137">
        <v>0</v>
      </c>
      <c r="AB9" s="154">
        <v>5</v>
      </c>
    </row>
    <row r="10" spans="1:28" x14ac:dyDescent="0.35">
      <c r="B10" s="124" t="s">
        <v>187</v>
      </c>
      <c r="C10" s="99"/>
      <c r="D10" s="91"/>
      <c r="E10" s="100"/>
      <c r="F10" s="104"/>
      <c r="G10" s="92"/>
      <c r="H10" s="84"/>
      <c r="I10" s="87"/>
      <c r="J10" s="92"/>
      <c r="K10" s="141"/>
      <c r="L10" s="178"/>
      <c r="M10" s="186">
        <v>24</v>
      </c>
      <c r="N10" s="138">
        <v>24</v>
      </c>
      <c r="O10" s="138">
        <v>8</v>
      </c>
      <c r="P10" s="138">
        <v>8</v>
      </c>
      <c r="Q10" s="138">
        <v>4</v>
      </c>
      <c r="R10" s="138">
        <v>4</v>
      </c>
      <c r="S10" s="138">
        <v>96</v>
      </c>
      <c r="T10" s="155">
        <v>96</v>
      </c>
      <c r="U10" s="188"/>
      <c r="V10" s="186">
        <v>48</v>
      </c>
      <c r="W10" s="138">
        <v>48</v>
      </c>
      <c r="X10" s="138">
        <v>168</v>
      </c>
      <c r="Y10" s="138">
        <v>168</v>
      </c>
      <c r="Z10" s="138">
        <v>168</v>
      </c>
      <c r="AA10" s="138">
        <v>332</v>
      </c>
      <c r="AB10" s="155">
        <v>332</v>
      </c>
    </row>
    <row r="11" spans="1:28" ht="15" thickBot="1" x14ac:dyDescent="0.4">
      <c r="B11" s="156" t="s">
        <v>188</v>
      </c>
      <c r="C11" s="157"/>
      <c r="D11" s="158"/>
      <c r="E11" s="159"/>
      <c r="F11" s="160"/>
      <c r="G11" s="161"/>
      <c r="H11" s="162"/>
      <c r="I11" s="163"/>
      <c r="J11" s="161"/>
      <c r="K11" s="164"/>
      <c r="L11" s="179"/>
      <c r="M11" s="187">
        <v>28</v>
      </c>
      <c r="N11" s="165">
        <v>28</v>
      </c>
      <c r="O11" s="165">
        <v>16</v>
      </c>
      <c r="P11" s="165">
        <v>16</v>
      </c>
      <c r="Q11" s="165">
        <v>24</v>
      </c>
      <c r="R11" s="165">
        <v>24</v>
      </c>
      <c r="S11" s="165">
        <v>332</v>
      </c>
      <c r="T11" s="166">
        <v>332</v>
      </c>
      <c r="U11" s="189"/>
      <c r="V11" s="187">
        <v>54</v>
      </c>
      <c r="W11" s="165">
        <v>54</v>
      </c>
      <c r="X11" s="165">
        <v>250</v>
      </c>
      <c r="Y11" s="165">
        <v>250</v>
      </c>
      <c r="Z11" s="165">
        <v>250</v>
      </c>
      <c r="AA11" s="165">
        <f>AA10+3*730</f>
        <v>2522</v>
      </c>
      <c r="AB11" s="166">
        <f>AB10+3*730</f>
        <v>2522</v>
      </c>
    </row>
    <row r="12" spans="1:28" x14ac:dyDescent="0.35">
      <c r="A12" s="83" t="s">
        <v>189</v>
      </c>
      <c r="B12" s="96" t="s">
        <v>190</v>
      </c>
      <c r="C12" s="102">
        <v>1.01962589884331</v>
      </c>
      <c r="D12" s="93">
        <v>0.30421695890141393</v>
      </c>
      <c r="E12" s="107">
        <v>0.15865525393145699</v>
      </c>
      <c r="F12" s="105">
        <v>1.459632479926247</v>
      </c>
      <c r="G12" s="88">
        <v>1.8444078753745543</v>
      </c>
      <c r="H12" s="95">
        <v>1.9620317318732567</v>
      </c>
      <c r="I12" s="94">
        <v>0.30615488053447232</v>
      </c>
      <c r="J12" s="93">
        <v>0.66234357958749734</v>
      </c>
      <c r="K12" s="142">
        <v>0.49687576689513097</v>
      </c>
      <c r="L12" s="180"/>
      <c r="M12" s="200">
        <v>0.11646076007039523</v>
      </c>
      <c r="N12" s="201">
        <v>0.47490555132113776</v>
      </c>
      <c r="O12" s="201">
        <v>0.10902875589187594</v>
      </c>
      <c r="P12" s="201">
        <v>0.63737288145789239</v>
      </c>
      <c r="Q12" s="201">
        <v>9.6009491926355717E-2</v>
      </c>
      <c r="R12" s="218">
        <v>0.99957093954381238</v>
      </c>
      <c r="S12" s="201">
        <v>3.0861506408763799E-19</v>
      </c>
      <c r="T12" s="202">
        <v>0.38497009696511175</v>
      </c>
      <c r="U12" s="180"/>
      <c r="V12" s="200">
        <v>0.13230108314802524</v>
      </c>
      <c r="W12" s="201">
        <v>0.28845930918640245</v>
      </c>
      <c r="X12" s="93">
        <v>0.20306980582848377</v>
      </c>
      <c r="Y12" s="201">
        <v>0.12064217752204577</v>
      </c>
      <c r="Z12" s="201">
        <v>0.35987047575345321</v>
      </c>
      <c r="AA12" s="201">
        <v>0.16940812724489154</v>
      </c>
      <c r="AB12" s="202">
        <v>0.46696919912242529</v>
      </c>
    </row>
    <row r="13" spans="1:28" x14ac:dyDescent="0.35">
      <c r="A13" s="83"/>
      <c r="B13" s="270" t="s">
        <v>191</v>
      </c>
      <c r="C13" s="262"/>
      <c r="D13" s="263"/>
      <c r="E13" s="264"/>
      <c r="F13" s="265"/>
      <c r="G13" s="266"/>
      <c r="H13" s="234"/>
      <c r="I13" s="267"/>
      <c r="J13" s="263"/>
      <c r="K13" s="268"/>
      <c r="L13" s="269"/>
      <c r="M13" s="275">
        <f>(M18*M4)/100000</f>
        <v>0.11645</v>
      </c>
      <c r="N13" s="276">
        <f t="shared" ref="N13:AB13" si="2">(N18*N4)/100000</f>
        <v>0.47489999999999999</v>
      </c>
      <c r="O13" s="276">
        <f t="shared" si="2"/>
        <v>0.13325000000000001</v>
      </c>
      <c r="P13" s="276">
        <f t="shared" si="2"/>
        <v>0.63734999999999997</v>
      </c>
      <c r="Q13" s="272">
        <f t="shared" si="2"/>
        <v>0.56679999999999997</v>
      </c>
      <c r="R13" s="272">
        <f t="shared" si="2"/>
        <v>0</v>
      </c>
      <c r="S13" s="272">
        <f t="shared" si="2"/>
        <v>0</v>
      </c>
      <c r="T13" s="273">
        <f t="shared" si="2"/>
        <v>0</v>
      </c>
      <c r="U13" s="269"/>
      <c r="V13" s="271">
        <f t="shared" si="2"/>
        <v>0</v>
      </c>
      <c r="W13" s="272">
        <f t="shared" si="2"/>
        <v>0</v>
      </c>
      <c r="X13" s="272">
        <f t="shared" si="2"/>
        <v>0</v>
      </c>
      <c r="Y13" s="272">
        <f t="shared" si="2"/>
        <v>0</v>
      </c>
      <c r="Z13" s="272">
        <f t="shared" si="2"/>
        <v>0</v>
      </c>
      <c r="AA13" s="272">
        <f t="shared" si="2"/>
        <v>0</v>
      </c>
      <c r="AB13" s="273">
        <f t="shared" si="2"/>
        <v>0</v>
      </c>
    </row>
    <row r="14" spans="1:28" x14ac:dyDescent="0.35">
      <c r="A14" s="83"/>
      <c r="B14" s="123" t="s">
        <v>192</v>
      </c>
      <c r="C14" s="191"/>
      <c r="D14" s="192"/>
      <c r="E14" s="193"/>
      <c r="F14" s="194"/>
      <c r="G14" s="195"/>
      <c r="H14" s="196"/>
      <c r="I14" s="197"/>
      <c r="J14" s="192"/>
      <c r="K14" s="198"/>
      <c r="L14" s="199"/>
      <c r="M14" s="203">
        <v>6.6106355804773753E-2</v>
      </c>
      <c r="N14" s="204">
        <v>6.6106355804773753E-2</v>
      </c>
      <c r="O14" s="204">
        <v>9.0392925235616234E-2</v>
      </c>
      <c r="P14" s="204">
        <v>9.0392925235616234E-2</v>
      </c>
      <c r="Q14" s="204">
        <v>0.11947588068203675</v>
      </c>
      <c r="R14" s="204">
        <v>0.11947588068203675</v>
      </c>
      <c r="S14" s="204">
        <v>3.8181470149056415E-2</v>
      </c>
      <c r="T14" s="205">
        <v>3.8181470149056415E-2</v>
      </c>
      <c r="U14" s="199"/>
      <c r="V14" s="203">
        <v>9.518590207321817E-2</v>
      </c>
      <c r="W14" s="204">
        <v>9.518590207321817E-2</v>
      </c>
      <c r="X14" s="204">
        <v>7.9175087342325506E-2</v>
      </c>
      <c r="Y14" s="204">
        <v>7.9175087342325506E-2</v>
      </c>
      <c r="Z14" s="204">
        <v>7.9175087342325506E-2</v>
      </c>
      <c r="AA14" s="204">
        <v>3.6813027285409951E-2</v>
      </c>
      <c r="AB14" s="205">
        <v>3.6813027285409951E-2</v>
      </c>
    </row>
    <row r="15" spans="1:28" ht="15" thickBot="1" x14ac:dyDescent="0.4">
      <c r="B15" s="98" t="s">
        <v>193</v>
      </c>
      <c r="C15" s="103">
        <v>1.0209999999999999</v>
      </c>
      <c r="D15" s="90">
        <v>0.3039</v>
      </c>
      <c r="E15" s="108">
        <v>0.15870000000000001</v>
      </c>
      <c r="F15" s="106">
        <v>1.4650000000000001</v>
      </c>
      <c r="G15" s="89">
        <v>1.8919999999999999</v>
      </c>
      <c r="H15" s="90">
        <v>2.0859999999999999</v>
      </c>
      <c r="I15" s="89">
        <v>0.30609999999999998</v>
      </c>
      <c r="J15" s="90">
        <v>0.66259999999999997</v>
      </c>
      <c r="K15" s="167">
        <v>0.49690000000000001</v>
      </c>
      <c r="L15" s="179"/>
      <c r="M15" s="206">
        <v>0.1159</v>
      </c>
      <c r="N15" s="207">
        <v>0.47389999999999999</v>
      </c>
      <c r="O15" s="207">
        <v>0.1084</v>
      </c>
      <c r="P15" s="207">
        <v>0.63719999999999999</v>
      </c>
      <c r="Q15" s="207">
        <v>9.6689999999999998E-2</v>
      </c>
      <c r="R15" s="217">
        <v>1.1160000000000001</v>
      </c>
      <c r="S15" s="207">
        <v>0</v>
      </c>
      <c r="T15" s="208">
        <v>0.38390000000000002</v>
      </c>
      <c r="U15" s="209"/>
      <c r="V15" s="206">
        <v>0.1308</v>
      </c>
      <c r="W15" s="207">
        <v>0.2873</v>
      </c>
      <c r="X15" s="215">
        <v>0.19919999999999999</v>
      </c>
      <c r="Y15" s="207">
        <v>0.11990000000000001</v>
      </c>
      <c r="Z15" s="207">
        <v>0.36070000000000002</v>
      </c>
      <c r="AA15" s="207">
        <v>0.16739999999999999</v>
      </c>
      <c r="AB15" s="208">
        <v>0.46589999999999998</v>
      </c>
    </row>
    <row r="16" spans="1:28" x14ac:dyDescent="0.35">
      <c r="A16" s="129" t="s">
        <v>194</v>
      </c>
      <c r="B16" s="119" t="s">
        <v>195</v>
      </c>
      <c r="C16" s="131"/>
      <c r="D16" s="132"/>
      <c r="E16" s="132"/>
      <c r="F16" s="132"/>
      <c r="G16" s="132"/>
      <c r="H16" s="132"/>
      <c r="I16" s="132"/>
      <c r="J16" s="132"/>
      <c r="K16" s="133"/>
      <c r="L16" s="181"/>
      <c r="M16" s="210">
        <f>M12*M11</f>
        <v>3.2609012819710665</v>
      </c>
      <c r="N16" s="211">
        <f t="shared" ref="N16:T16" si="3">N12*N11</f>
        <v>13.297355436991857</v>
      </c>
      <c r="O16" s="211">
        <f t="shared" si="3"/>
        <v>1.744460094270015</v>
      </c>
      <c r="P16" s="211">
        <f t="shared" si="3"/>
        <v>10.197966103326278</v>
      </c>
      <c r="Q16" s="211">
        <f t="shared" si="3"/>
        <v>2.3042278062325372</v>
      </c>
      <c r="R16" s="211">
        <f t="shared" si="3"/>
        <v>23.989702549051497</v>
      </c>
      <c r="S16" s="211">
        <f t="shared" si="3"/>
        <v>1.0246020127709581E-16</v>
      </c>
      <c r="T16" s="212">
        <f t="shared" si="3"/>
        <v>127.8100721924171</v>
      </c>
      <c r="U16" s="213"/>
      <c r="V16" s="210">
        <f t="shared" ref="V16:AB16" si="4">V12*V11</f>
        <v>7.144258489993363</v>
      </c>
      <c r="W16" s="211">
        <f t="shared" si="4"/>
        <v>15.576802696065732</v>
      </c>
      <c r="X16" s="211">
        <f t="shared" si="4"/>
        <v>50.767451457120941</v>
      </c>
      <c r="Y16" s="211">
        <f t="shared" si="4"/>
        <v>30.160544380511443</v>
      </c>
      <c r="Z16" s="211">
        <f t="shared" si="4"/>
        <v>89.967618938363302</v>
      </c>
      <c r="AA16" s="211">
        <f t="shared" si="4"/>
        <v>427.24729691161644</v>
      </c>
      <c r="AB16" s="212">
        <f t="shared" si="4"/>
        <v>1177.6963201867566</v>
      </c>
    </row>
    <row r="17" spans="1:28" ht="15" thickBot="1" x14ac:dyDescent="0.4">
      <c r="A17" s="130"/>
      <c r="B17" s="98" t="s">
        <v>196</v>
      </c>
      <c r="C17" s="134"/>
      <c r="D17" s="135"/>
      <c r="E17" s="135"/>
      <c r="F17" s="135"/>
      <c r="G17" s="135"/>
      <c r="H17" s="135"/>
      <c r="I17" s="135"/>
      <c r="J17" s="135"/>
      <c r="K17" s="136"/>
      <c r="L17" s="179"/>
      <c r="M17" s="214">
        <f>M11*M14</f>
        <v>1.8509779625336651</v>
      </c>
      <c r="N17" s="215">
        <f t="shared" ref="N17:AB17" si="5">N11*N14</f>
        <v>1.8509779625336651</v>
      </c>
      <c r="O17" s="215">
        <f t="shared" si="5"/>
        <v>1.4462868037698597</v>
      </c>
      <c r="P17" s="215">
        <f t="shared" si="5"/>
        <v>1.4462868037698597</v>
      </c>
      <c r="Q17" s="215">
        <f t="shared" si="5"/>
        <v>2.8674211363688822</v>
      </c>
      <c r="R17" s="215">
        <f t="shared" si="5"/>
        <v>2.8674211363688822</v>
      </c>
      <c r="S17" s="215">
        <f t="shared" si="5"/>
        <v>12.67624808948673</v>
      </c>
      <c r="T17" s="216">
        <f t="shared" si="5"/>
        <v>12.67624808948673</v>
      </c>
      <c r="U17" s="209"/>
      <c r="V17" s="214">
        <f t="shared" si="5"/>
        <v>5.1400387119537809</v>
      </c>
      <c r="W17" s="215">
        <f t="shared" si="5"/>
        <v>5.1400387119537809</v>
      </c>
      <c r="X17" s="215">
        <f t="shared" si="5"/>
        <v>19.793771835581378</v>
      </c>
      <c r="Y17" s="215">
        <f t="shared" si="5"/>
        <v>19.793771835581378</v>
      </c>
      <c r="Z17" s="215">
        <f t="shared" si="5"/>
        <v>19.793771835581378</v>
      </c>
      <c r="AA17" s="215">
        <f t="shared" si="5"/>
        <v>92.842454813803897</v>
      </c>
      <c r="AB17" s="216">
        <f t="shared" si="5"/>
        <v>92.842454813803897</v>
      </c>
    </row>
    <row r="18" spans="1:28" x14ac:dyDescent="0.35">
      <c r="M18" s="274">
        <v>2329</v>
      </c>
      <c r="N18" s="274">
        <v>9498</v>
      </c>
      <c r="O18" s="274">
        <v>2665</v>
      </c>
      <c r="P18" s="274">
        <v>12747</v>
      </c>
      <c r="Q18" s="274">
        <v>11336</v>
      </c>
    </row>
    <row r="19" spans="1:28" x14ac:dyDescent="0.35">
      <c r="B19" s="83" t="s">
        <v>180</v>
      </c>
      <c r="C19" s="83" t="s">
        <v>197</v>
      </c>
      <c r="P19" t="s">
        <v>198</v>
      </c>
    </row>
    <row r="20" spans="1:28" x14ac:dyDescent="0.35">
      <c r="B20" s="85">
        <v>1</v>
      </c>
    </row>
    <row r="21" spans="1:28" x14ac:dyDescent="0.35">
      <c r="B21" s="85">
        <v>2</v>
      </c>
      <c r="C21" t="s">
        <v>199</v>
      </c>
    </row>
    <row r="22" spans="1:28" x14ac:dyDescent="0.35">
      <c r="B22" s="85">
        <v>3</v>
      </c>
    </row>
    <row r="23" spans="1:28" x14ac:dyDescent="0.35">
      <c r="B23" s="85">
        <v>4</v>
      </c>
    </row>
    <row r="24" spans="1:28" x14ac:dyDescent="0.35">
      <c r="B24" s="85">
        <v>5</v>
      </c>
      <c r="C24" t="s">
        <v>200</v>
      </c>
    </row>
    <row r="25" spans="1:28" x14ac:dyDescent="0.35">
      <c r="B25" s="85">
        <v>6</v>
      </c>
      <c r="C25" t="s">
        <v>201</v>
      </c>
    </row>
    <row r="26" spans="1:28" x14ac:dyDescent="0.35">
      <c r="B26" s="85">
        <v>7</v>
      </c>
      <c r="C26" t="s">
        <v>202</v>
      </c>
    </row>
    <row r="27" spans="1:28" x14ac:dyDescent="0.35">
      <c r="B27" s="85">
        <v>8</v>
      </c>
    </row>
    <row r="28" spans="1:28" x14ac:dyDescent="0.35">
      <c r="B28" s="85">
        <v>9</v>
      </c>
      <c r="C28" t="s">
        <v>203</v>
      </c>
    </row>
    <row r="29" spans="1:28" x14ac:dyDescent="0.35">
      <c r="B29" s="85">
        <v>10</v>
      </c>
    </row>
    <row r="30" spans="1:28" x14ac:dyDescent="0.35">
      <c r="B30" s="85">
        <v>11</v>
      </c>
    </row>
    <row r="31" spans="1:28" x14ac:dyDescent="0.35">
      <c r="B31" s="85"/>
    </row>
    <row r="32" spans="1:28" x14ac:dyDescent="0.35">
      <c r="B32" s="85"/>
    </row>
    <row r="33" spans="1:2" x14ac:dyDescent="0.35">
      <c r="A33" s="125" t="s">
        <v>204</v>
      </c>
      <c r="B33" s="85"/>
    </row>
    <row r="34" spans="1:2" x14ac:dyDescent="0.35">
      <c r="A34" s="126" t="s">
        <v>205</v>
      </c>
      <c r="B34" s="85"/>
    </row>
    <row r="35" spans="1:2" x14ac:dyDescent="0.35">
      <c r="A35" s="127" t="s">
        <v>206</v>
      </c>
      <c r="B35" s="85"/>
    </row>
    <row r="36" spans="1:2" x14ac:dyDescent="0.35">
      <c r="A36" s="126" t="s">
        <v>207</v>
      </c>
    </row>
    <row r="37" spans="1:2" x14ac:dyDescent="0.35">
      <c r="A37" s="128" t="s">
        <v>208</v>
      </c>
    </row>
  </sheetData>
  <mergeCells count="2">
    <mergeCell ref="M2:T2"/>
    <mergeCell ref="V2:AB2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1032-3C6C-4E55-819F-11EECA6BEE78}">
  <sheetPr>
    <tabColor theme="5"/>
  </sheetPr>
  <dimension ref="B1:L39"/>
  <sheetViews>
    <sheetView workbookViewId="0"/>
  </sheetViews>
  <sheetFormatPr defaultRowHeight="14.5" x14ac:dyDescent="0.35"/>
  <cols>
    <col min="2" max="2" width="33.54296875" bestFit="1" customWidth="1"/>
    <col min="3" max="3" width="15.81640625" bestFit="1" customWidth="1"/>
    <col min="6" max="6" width="8.7265625" style="85" customWidth="1"/>
  </cols>
  <sheetData>
    <row r="1" spans="2:12" x14ac:dyDescent="0.35">
      <c r="J1" s="3" t="s">
        <v>209</v>
      </c>
      <c r="K1" s="85">
        <v>4</v>
      </c>
      <c r="L1">
        <v>3</v>
      </c>
    </row>
    <row r="2" spans="2:12" x14ac:dyDescent="0.35">
      <c r="B2" s="11" t="s">
        <v>11</v>
      </c>
      <c r="C2" s="221">
        <v>2025</v>
      </c>
      <c r="E2" s="496">
        <f>C2+C3-1</f>
        <v>2048</v>
      </c>
      <c r="F2" s="404" t="s">
        <v>14</v>
      </c>
      <c r="J2" s="3" t="s">
        <v>107</v>
      </c>
      <c r="K2" s="85">
        <v>6</v>
      </c>
      <c r="L2">
        <v>6</v>
      </c>
    </row>
    <row r="3" spans="2:12" x14ac:dyDescent="0.35">
      <c r="B3" s="11" t="s">
        <v>210</v>
      </c>
      <c r="C3" s="221">
        <v>24</v>
      </c>
      <c r="J3" s="3" t="s">
        <v>211</v>
      </c>
      <c r="K3" s="85">
        <v>3</v>
      </c>
      <c r="L3">
        <v>0</v>
      </c>
    </row>
    <row r="4" spans="2:12" x14ac:dyDescent="0.35">
      <c r="B4" s="11" t="s">
        <v>212</v>
      </c>
      <c r="C4" s="221">
        <v>5</v>
      </c>
      <c r="J4" s="3" t="s">
        <v>213</v>
      </c>
      <c r="K4" s="85">
        <v>2</v>
      </c>
      <c r="L4">
        <v>0</v>
      </c>
    </row>
    <row r="5" spans="2:12" x14ac:dyDescent="0.35">
      <c r="B5" s="11" t="s">
        <v>214</v>
      </c>
      <c r="C5" s="221">
        <v>6</v>
      </c>
      <c r="J5" s="235">
        <v>2020</v>
      </c>
      <c r="K5" s="235"/>
      <c r="L5" s="84"/>
    </row>
    <row r="6" spans="2:12" x14ac:dyDescent="0.35">
      <c r="B6" s="11" t="s">
        <v>185</v>
      </c>
      <c r="C6" s="221">
        <v>2</v>
      </c>
      <c r="J6" s="235">
        <v>2021</v>
      </c>
      <c r="K6" s="84"/>
      <c r="L6" s="84"/>
    </row>
    <row r="7" spans="2:12" x14ac:dyDescent="0.35">
      <c r="B7" s="11" t="s">
        <v>186</v>
      </c>
      <c r="C7" s="221">
        <v>0</v>
      </c>
      <c r="J7" s="235">
        <v>2022</v>
      </c>
      <c r="K7" s="84"/>
      <c r="L7" s="84"/>
    </row>
    <row r="8" spans="2:12" x14ac:dyDescent="0.35">
      <c r="B8" s="11" t="s">
        <v>4</v>
      </c>
      <c r="C8" s="495"/>
      <c r="J8" s="235">
        <v>2023</v>
      </c>
      <c r="K8" s="235"/>
      <c r="L8" s="84"/>
    </row>
    <row r="9" spans="2:12" x14ac:dyDescent="0.35">
      <c r="B9" s="11" t="s">
        <v>5</v>
      </c>
      <c r="C9" s="495"/>
      <c r="J9" s="235">
        <v>2024</v>
      </c>
      <c r="K9" s="84" t="s">
        <v>215</v>
      </c>
      <c r="L9" s="84"/>
    </row>
    <row r="10" spans="2:12" x14ac:dyDescent="0.35">
      <c r="B10" s="11" t="s">
        <v>104</v>
      </c>
      <c r="C10" s="495"/>
      <c r="J10" s="500">
        <v>2025</v>
      </c>
      <c r="K10" s="84"/>
      <c r="L10" s="84"/>
    </row>
    <row r="11" spans="2:12" x14ac:dyDescent="0.35">
      <c r="B11" s="11" t="s">
        <v>64</v>
      </c>
      <c r="C11" s="495"/>
      <c r="J11" s="500">
        <v>2026</v>
      </c>
      <c r="K11" s="498"/>
      <c r="L11" s="84"/>
    </row>
    <row r="12" spans="2:12" x14ac:dyDescent="0.35">
      <c r="C12" s="85"/>
      <c r="J12" s="500">
        <v>2027</v>
      </c>
      <c r="K12" s="84"/>
      <c r="L12" s="84"/>
    </row>
    <row r="13" spans="2:12" x14ac:dyDescent="0.35">
      <c r="J13" s="500">
        <v>2028</v>
      </c>
      <c r="K13" s="84"/>
      <c r="L13" s="498" t="s">
        <v>20</v>
      </c>
    </row>
    <row r="14" spans="2:12" x14ac:dyDescent="0.35">
      <c r="B14" s="11" t="s">
        <v>24</v>
      </c>
      <c r="C14" s="84">
        <f>C2+C5+C7-C6</f>
        <v>2029</v>
      </c>
      <c r="J14" s="500">
        <v>2029</v>
      </c>
      <c r="K14" s="84" t="s">
        <v>20</v>
      </c>
      <c r="L14" s="84"/>
    </row>
    <row r="15" spans="2:12" x14ac:dyDescent="0.35">
      <c r="B15" s="11" t="s">
        <v>26</v>
      </c>
      <c r="C15" s="84">
        <f>IF(C14&lt;$C2,$C2,C14)</f>
        <v>2029</v>
      </c>
      <c r="J15" s="500">
        <v>2030</v>
      </c>
      <c r="K15" s="84"/>
      <c r="L15" s="84"/>
    </row>
    <row r="16" spans="2:12" x14ac:dyDescent="0.35">
      <c r="B16" s="11" t="s">
        <v>216</v>
      </c>
      <c r="C16" s="84">
        <f>IF(C15&gt;=$E2+1,0,_xlfn.CEILING.MATH(($E2+1-C15)/C5))</f>
        <v>4</v>
      </c>
      <c r="J16" s="500">
        <v>2031</v>
      </c>
      <c r="K16" s="84"/>
      <c r="L16" s="84" t="s">
        <v>215</v>
      </c>
    </row>
    <row r="17" spans="2:12" x14ac:dyDescent="0.35">
      <c r="J17" s="500">
        <v>2032</v>
      </c>
      <c r="K17" s="84"/>
      <c r="L17" s="84"/>
    </row>
    <row r="18" spans="2:12" x14ac:dyDescent="0.35">
      <c r="J18" s="500">
        <v>2033</v>
      </c>
      <c r="K18" s="84"/>
      <c r="L18" s="84"/>
    </row>
    <row r="19" spans="2:12" x14ac:dyDescent="0.35">
      <c r="B19" s="83" t="s">
        <v>217</v>
      </c>
      <c r="C19" s="85"/>
      <c r="J19" s="500">
        <v>2034</v>
      </c>
      <c r="K19" s="498" t="s">
        <v>20</v>
      </c>
      <c r="L19" s="498" t="s">
        <v>20</v>
      </c>
    </row>
    <row r="20" spans="2:12" x14ac:dyDescent="0.35">
      <c r="B20" s="11" t="s">
        <v>218</v>
      </c>
      <c r="C20" s="84" t="b">
        <f>IF(C5&lt;=C4,0,FALSE)</f>
        <v>0</v>
      </c>
      <c r="J20" s="500">
        <v>2035</v>
      </c>
      <c r="K20" s="84"/>
      <c r="L20" s="84"/>
    </row>
    <row r="21" spans="2:12" x14ac:dyDescent="0.35">
      <c r="J21" s="500">
        <v>2036</v>
      </c>
      <c r="K21" s="84"/>
      <c r="L21" s="84"/>
    </row>
    <row r="22" spans="2:12" x14ac:dyDescent="0.35">
      <c r="B22" s="83" t="s">
        <v>219</v>
      </c>
      <c r="J22" s="500">
        <v>2037</v>
      </c>
      <c r="K22" s="84"/>
      <c r="L22" s="84" t="s">
        <v>215</v>
      </c>
    </row>
    <row r="23" spans="2:12" x14ac:dyDescent="0.35">
      <c r="B23" s="11" t="s">
        <v>220</v>
      </c>
      <c r="C23" s="84">
        <f>IF(C2+C4-C6&lt;C2,C2,C2+C4-C6)</f>
        <v>2028</v>
      </c>
      <c r="D23" s="311" t="s">
        <v>221</v>
      </c>
      <c r="E23" s="238"/>
      <c r="F23" s="499"/>
      <c r="G23" s="238"/>
      <c r="H23" s="238"/>
      <c r="J23" s="500">
        <v>2038</v>
      </c>
      <c r="K23" s="84"/>
      <c r="L23" s="84"/>
    </row>
    <row r="24" spans="2:12" x14ac:dyDescent="0.35">
      <c r="B24" s="11" t="s">
        <v>218</v>
      </c>
      <c r="C24" s="498">
        <f>IF(C23&gt;=$E2+1,0,_xlfn.CEILING.MATH(($E2+1-C23)/C4))</f>
        <v>5</v>
      </c>
      <c r="D24" s="311" t="s">
        <v>222</v>
      </c>
      <c r="E24" s="238"/>
      <c r="F24" s="499"/>
      <c r="G24" s="238"/>
      <c r="H24" s="238"/>
      <c r="J24" s="500">
        <v>2039</v>
      </c>
      <c r="K24" s="84" t="s">
        <v>20</v>
      </c>
      <c r="L24" s="84"/>
    </row>
    <row r="25" spans="2:12" x14ac:dyDescent="0.35">
      <c r="J25" s="500">
        <v>2040</v>
      </c>
      <c r="K25" s="498"/>
      <c r="L25" s="498" t="s">
        <v>20</v>
      </c>
    </row>
    <row r="26" spans="2:12" x14ac:dyDescent="0.35">
      <c r="J26" s="500">
        <v>2041</v>
      </c>
      <c r="K26" s="84"/>
      <c r="L26" s="84"/>
    </row>
    <row r="27" spans="2:12" x14ac:dyDescent="0.35">
      <c r="J27" s="500">
        <v>2042</v>
      </c>
      <c r="K27" s="84"/>
      <c r="L27" s="84"/>
    </row>
    <row r="28" spans="2:12" x14ac:dyDescent="0.35">
      <c r="J28" s="500">
        <v>2043</v>
      </c>
      <c r="K28" s="84"/>
      <c r="L28" s="84" t="s">
        <v>215</v>
      </c>
    </row>
    <row r="29" spans="2:12" x14ac:dyDescent="0.35">
      <c r="J29" s="500">
        <v>2044</v>
      </c>
      <c r="K29" s="84" t="s">
        <v>20</v>
      </c>
      <c r="L29" s="84"/>
    </row>
    <row r="30" spans="2:12" x14ac:dyDescent="0.35">
      <c r="C30" s="85"/>
      <c r="J30" s="500">
        <v>2045</v>
      </c>
      <c r="K30" s="84"/>
      <c r="L30" s="84"/>
    </row>
    <row r="31" spans="2:12" x14ac:dyDescent="0.35">
      <c r="C31" s="85"/>
      <c r="J31" s="500">
        <v>2046</v>
      </c>
      <c r="K31" s="498"/>
      <c r="L31" s="498" t="s">
        <v>20</v>
      </c>
    </row>
    <row r="32" spans="2:12" x14ac:dyDescent="0.35">
      <c r="C32" s="85"/>
      <c r="J32" s="500">
        <v>2047</v>
      </c>
      <c r="K32" s="84"/>
      <c r="L32" s="84"/>
    </row>
    <row r="33" spans="3:12" x14ac:dyDescent="0.35">
      <c r="C33" s="85"/>
      <c r="J33" s="500">
        <v>2048</v>
      </c>
      <c r="K33" s="84"/>
      <c r="L33" s="84"/>
    </row>
    <row r="34" spans="3:12" x14ac:dyDescent="0.35">
      <c r="C34" s="85"/>
      <c r="J34" s="497">
        <v>2049</v>
      </c>
      <c r="K34" s="84"/>
      <c r="L34" s="84" t="s">
        <v>215</v>
      </c>
    </row>
    <row r="35" spans="3:12" x14ac:dyDescent="0.35">
      <c r="J35" s="497">
        <v>2050</v>
      </c>
      <c r="K35" s="84"/>
      <c r="L35" s="84"/>
    </row>
    <row r="36" spans="3:12" x14ac:dyDescent="0.35">
      <c r="J36" s="497">
        <v>2051</v>
      </c>
      <c r="K36" s="84"/>
      <c r="L36" s="84"/>
    </row>
    <row r="37" spans="3:12" x14ac:dyDescent="0.35">
      <c r="J37" s="497">
        <v>2052</v>
      </c>
      <c r="K37" s="498"/>
      <c r="L37" s="498" t="s">
        <v>20</v>
      </c>
    </row>
    <row r="38" spans="3:12" x14ac:dyDescent="0.35">
      <c r="J38" s="497">
        <v>2053</v>
      </c>
      <c r="K38" s="84"/>
      <c r="L38" s="84"/>
    </row>
    <row r="39" spans="3:12" x14ac:dyDescent="0.35">
      <c r="J39" s="497">
        <v>2054</v>
      </c>
      <c r="K39" s="84"/>
      <c r="L39" s="84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A3E1-4466-4FDE-BD7C-89805856C03F}">
  <dimension ref="A1:W56"/>
  <sheetViews>
    <sheetView zoomScaleNormal="100" workbookViewId="0">
      <selection activeCell="A2" sqref="A2"/>
    </sheetView>
  </sheetViews>
  <sheetFormatPr defaultRowHeight="14.5" x14ac:dyDescent="0.35"/>
  <cols>
    <col min="1" max="1" width="18.26953125" customWidth="1"/>
    <col min="2" max="2" width="21.26953125" bestFit="1" customWidth="1"/>
    <col min="3" max="17" width="9.54296875" customWidth="1"/>
    <col min="18" max="18" width="9.54296875" bestFit="1" customWidth="1"/>
    <col min="19" max="19" width="9.54296875" customWidth="1"/>
  </cols>
  <sheetData>
    <row r="1" spans="1:23" ht="15" thickBot="1" x14ac:dyDescent="0.4">
      <c r="A1" s="338" t="s">
        <v>223</v>
      </c>
    </row>
    <row r="2" spans="1:23" ht="15" thickBot="1" x14ac:dyDescent="0.4">
      <c r="C2" s="544" t="s">
        <v>224</v>
      </c>
      <c r="D2" s="545"/>
      <c r="E2" s="545"/>
      <c r="F2" s="545"/>
      <c r="G2" s="546"/>
      <c r="H2" s="544" t="s">
        <v>225</v>
      </c>
      <c r="I2" s="545"/>
      <c r="J2" s="546"/>
      <c r="K2" s="544" t="s">
        <v>226</v>
      </c>
      <c r="L2" s="545"/>
      <c r="M2" s="545"/>
      <c r="N2" s="546"/>
      <c r="O2" s="353" t="s">
        <v>227</v>
      </c>
      <c r="Q2" s="83" t="s">
        <v>228</v>
      </c>
      <c r="T2" s="477"/>
      <c r="U2" s="478"/>
      <c r="V2" s="479" t="s">
        <v>229</v>
      </c>
      <c r="W2" s="480" t="s">
        <v>230</v>
      </c>
    </row>
    <row r="3" spans="1:23" ht="15" thickBot="1" x14ac:dyDescent="0.4">
      <c r="B3" s="143" t="s">
        <v>180</v>
      </c>
      <c r="C3" s="182">
        <v>1</v>
      </c>
      <c r="D3" s="168">
        <v>2</v>
      </c>
      <c r="E3" s="168">
        <v>3</v>
      </c>
      <c r="F3" s="342">
        <v>4</v>
      </c>
      <c r="G3" s="339">
        <v>5</v>
      </c>
      <c r="H3" s="360">
        <v>6</v>
      </c>
      <c r="I3" s="343">
        <v>7</v>
      </c>
      <c r="J3" s="344">
        <v>8</v>
      </c>
      <c r="K3" s="345">
        <v>9</v>
      </c>
      <c r="L3" s="346">
        <v>10</v>
      </c>
      <c r="M3" s="346">
        <v>11</v>
      </c>
      <c r="N3" s="351">
        <v>12</v>
      </c>
      <c r="O3" s="362">
        <v>13</v>
      </c>
      <c r="Q3" t="s">
        <v>231</v>
      </c>
      <c r="T3" s="481"/>
      <c r="U3" s="482"/>
      <c r="V3" s="483" t="s">
        <v>232</v>
      </c>
      <c r="W3" s="484">
        <v>1</v>
      </c>
    </row>
    <row r="4" spans="1:23" x14ac:dyDescent="0.35">
      <c r="A4" s="83" t="s">
        <v>181</v>
      </c>
      <c r="B4" s="97" t="s">
        <v>183</v>
      </c>
      <c r="C4" s="185">
        <v>15</v>
      </c>
      <c r="D4" s="137">
        <v>18</v>
      </c>
      <c r="E4" s="137">
        <v>3</v>
      </c>
      <c r="F4" s="256">
        <v>4</v>
      </c>
      <c r="G4" s="154">
        <v>45</v>
      </c>
      <c r="H4" s="361">
        <v>18</v>
      </c>
      <c r="I4" s="137">
        <v>35</v>
      </c>
      <c r="J4" s="154">
        <v>65</v>
      </c>
      <c r="K4" s="185">
        <v>15</v>
      </c>
      <c r="L4" s="137">
        <v>18</v>
      </c>
      <c r="M4" s="137">
        <v>3</v>
      </c>
      <c r="N4" s="154">
        <v>4</v>
      </c>
      <c r="O4" s="354">
        <v>10</v>
      </c>
    </row>
    <row r="5" spans="1:23" x14ac:dyDescent="0.35">
      <c r="B5" s="97" t="s">
        <v>184</v>
      </c>
      <c r="C5" s="185">
        <v>3</v>
      </c>
      <c r="D5" s="137">
        <v>3.5999999999999996</v>
      </c>
      <c r="E5" s="137">
        <v>0.59999999999999964</v>
      </c>
      <c r="F5" s="256">
        <v>0.8</v>
      </c>
      <c r="G5" s="154">
        <v>4.5</v>
      </c>
      <c r="H5" s="361">
        <v>3.5999999999999996</v>
      </c>
      <c r="I5" s="137">
        <v>7</v>
      </c>
      <c r="J5" s="154">
        <v>6.5</v>
      </c>
      <c r="K5" s="185">
        <v>3</v>
      </c>
      <c r="L5" s="137">
        <v>3.5999999999999996</v>
      </c>
      <c r="M5" s="137">
        <v>0.59999999999999964</v>
      </c>
      <c r="N5" s="154">
        <v>0.8</v>
      </c>
      <c r="O5" s="354">
        <v>2</v>
      </c>
    </row>
    <row r="6" spans="1:23" ht="15" thickBot="1" x14ac:dyDescent="0.4">
      <c r="B6" s="97" t="s">
        <v>185</v>
      </c>
      <c r="C6" s="185">
        <v>10</v>
      </c>
      <c r="D6" s="137">
        <v>15</v>
      </c>
      <c r="E6" s="137">
        <v>0</v>
      </c>
      <c r="F6" s="256">
        <v>0</v>
      </c>
      <c r="G6" s="154">
        <v>41</v>
      </c>
      <c r="H6" s="361">
        <v>7</v>
      </c>
      <c r="I6" s="137">
        <v>23</v>
      </c>
      <c r="J6" s="154">
        <v>55</v>
      </c>
      <c r="K6" s="185">
        <v>10</v>
      </c>
      <c r="L6" s="137">
        <v>15</v>
      </c>
      <c r="M6" s="137">
        <v>0</v>
      </c>
      <c r="N6" s="154">
        <v>0</v>
      </c>
      <c r="O6" s="354">
        <v>10</v>
      </c>
    </row>
    <row r="7" spans="1:23" x14ac:dyDescent="0.35">
      <c r="A7" s="83" t="s">
        <v>189</v>
      </c>
      <c r="B7" s="96" t="s">
        <v>233</v>
      </c>
      <c r="C7" s="363">
        <v>0.47490555132113776</v>
      </c>
      <c r="D7" s="364">
        <v>0.63737368329528099</v>
      </c>
      <c r="E7" s="365">
        <v>1.0473612918166271</v>
      </c>
      <c r="F7" s="366">
        <v>0.89443861333366315</v>
      </c>
      <c r="G7" s="367">
        <v>0.49312870480478238</v>
      </c>
      <c r="H7" s="368">
        <v>0.38990620594169495</v>
      </c>
      <c r="I7" s="364">
        <v>0.35987047575345321</v>
      </c>
      <c r="J7" s="367">
        <v>0.46696919912242529</v>
      </c>
      <c r="K7" s="363">
        <v>3.4583977816828115</v>
      </c>
      <c r="L7" s="364">
        <v>3.0073400291605221</v>
      </c>
      <c r="M7" s="95">
        <v>16.04736129193962</v>
      </c>
      <c r="N7" s="369">
        <v>12</v>
      </c>
      <c r="O7" s="370">
        <v>2.3828943486093772</v>
      </c>
    </row>
    <row r="8" spans="1:23" x14ac:dyDescent="0.35">
      <c r="A8" s="83"/>
      <c r="B8" s="97" t="s">
        <v>191</v>
      </c>
      <c r="C8" s="265">
        <v>0.47499999999999998</v>
      </c>
      <c r="D8" s="234">
        <v>0.63700000000000001</v>
      </c>
      <c r="E8" s="234">
        <v>1.0469999999999999</v>
      </c>
      <c r="F8" s="234">
        <v>0.89500000000000002</v>
      </c>
      <c r="G8" s="392">
        <v>0.49299999999999999</v>
      </c>
      <c r="H8" s="393">
        <v>0.39</v>
      </c>
      <c r="I8" s="234">
        <v>0.36</v>
      </c>
      <c r="J8" s="392">
        <v>0.46700000000000003</v>
      </c>
      <c r="K8" s="265">
        <v>3.4609999999999999</v>
      </c>
      <c r="L8" s="234">
        <v>3.0070000000000001</v>
      </c>
      <c r="M8" s="234">
        <v>16.047000000000001</v>
      </c>
      <c r="N8" s="392">
        <v>12</v>
      </c>
      <c r="O8" s="394">
        <v>2.383</v>
      </c>
    </row>
    <row r="9" spans="1:23" ht="15" thickBot="1" x14ac:dyDescent="0.4">
      <c r="A9" s="83"/>
      <c r="B9" s="98" t="s">
        <v>193</v>
      </c>
      <c r="C9" s="371">
        <v>0.47470000000000001</v>
      </c>
      <c r="D9" s="372">
        <v>0.63719999999999999</v>
      </c>
      <c r="E9" s="373">
        <v>1.119</v>
      </c>
      <c r="F9" s="374">
        <v>0.89880000000000004</v>
      </c>
      <c r="G9" s="375">
        <v>0.49309999999999998</v>
      </c>
      <c r="H9" s="376">
        <v>0.39019999999999999</v>
      </c>
      <c r="I9" s="372">
        <v>0.3599</v>
      </c>
      <c r="J9" s="375">
        <v>0.46689999999999998</v>
      </c>
      <c r="K9" s="371">
        <v>3.4889999999999999</v>
      </c>
      <c r="L9" s="372">
        <v>3.0630000000000002</v>
      </c>
      <c r="M9" s="377">
        <v>16.190000000000001</v>
      </c>
      <c r="N9" s="378">
        <v>12.02</v>
      </c>
      <c r="O9" s="379">
        <v>2.4279999999999999</v>
      </c>
    </row>
    <row r="10" spans="1:23" ht="15" thickBot="1" x14ac:dyDescent="0.4"/>
    <row r="11" spans="1:23" ht="15" thickBot="1" x14ac:dyDescent="0.4">
      <c r="B11" s="461" t="s">
        <v>234</v>
      </c>
      <c r="C11" s="462">
        <f>C8/C9</f>
        <v>1.0006319780914261</v>
      </c>
      <c r="D11" s="463">
        <f t="shared" ref="D11:O11" si="0">D8/D9</f>
        <v>0.99968612680477087</v>
      </c>
      <c r="E11" s="471">
        <f t="shared" si="0"/>
        <v>0.93565683646112596</v>
      </c>
      <c r="F11" s="463">
        <f t="shared" si="0"/>
        <v>0.99577214063195374</v>
      </c>
      <c r="G11" s="463">
        <f t="shared" si="0"/>
        <v>0.99979720137903061</v>
      </c>
      <c r="H11" s="463">
        <f t="shared" si="0"/>
        <v>0.99948744233726294</v>
      </c>
      <c r="I11" s="463">
        <f t="shared" si="0"/>
        <v>1.0002778549597111</v>
      </c>
      <c r="J11" s="463">
        <f t="shared" si="0"/>
        <v>1.0002141786249734</v>
      </c>
      <c r="K11" s="463">
        <f t="shared" si="0"/>
        <v>0.99197477787331612</v>
      </c>
      <c r="L11" s="463">
        <f t="shared" si="0"/>
        <v>0.98171727064968983</v>
      </c>
      <c r="M11" s="463">
        <f t="shared" si="0"/>
        <v>0.99116738727609632</v>
      </c>
      <c r="N11" s="463">
        <f t="shared" si="0"/>
        <v>0.99833610648918469</v>
      </c>
      <c r="O11" s="464">
        <f t="shared" si="0"/>
        <v>0.98146622734761124</v>
      </c>
    </row>
    <row r="12" spans="1:23" x14ac:dyDescent="0.35">
      <c r="C12" s="460"/>
      <c r="D12" s="460"/>
      <c r="E12" s="460"/>
      <c r="F12" s="460"/>
      <c r="G12" s="460"/>
      <c r="H12" s="460"/>
      <c r="I12" s="460"/>
      <c r="J12" s="460"/>
      <c r="K12" s="460"/>
      <c r="L12" s="460"/>
      <c r="M12" s="460"/>
      <c r="N12" s="460"/>
      <c r="O12" s="460"/>
    </row>
    <row r="13" spans="1:23" ht="15" thickBot="1" x14ac:dyDescent="0.4">
      <c r="A13" s="338" t="s">
        <v>235</v>
      </c>
    </row>
    <row r="14" spans="1:23" ht="15" thickBot="1" x14ac:dyDescent="0.4">
      <c r="C14" s="544" t="s">
        <v>224</v>
      </c>
      <c r="D14" s="545"/>
      <c r="E14" s="545"/>
      <c r="F14" s="545"/>
      <c r="G14" s="545"/>
      <c r="H14" s="545"/>
      <c r="I14" s="545"/>
      <c r="J14" s="546"/>
      <c r="K14" s="544" t="s">
        <v>225</v>
      </c>
      <c r="L14" s="545"/>
      <c r="M14" s="545"/>
      <c r="N14" s="545"/>
      <c r="O14" s="545"/>
      <c r="P14" s="545"/>
      <c r="Q14" s="546"/>
      <c r="R14" s="547" t="s">
        <v>227</v>
      </c>
      <c r="S14" s="549"/>
      <c r="U14" s="83" t="s">
        <v>236</v>
      </c>
    </row>
    <row r="15" spans="1:23" ht="15" thickBot="1" x14ac:dyDescent="0.4">
      <c r="B15" s="143" t="s">
        <v>180</v>
      </c>
      <c r="C15" s="182">
        <v>1</v>
      </c>
      <c r="D15" s="168">
        <v>2</v>
      </c>
      <c r="E15" s="168">
        <v>3</v>
      </c>
      <c r="F15" s="168">
        <v>4</v>
      </c>
      <c r="G15" s="168">
        <v>5</v>
      </c>
      <c r="H15" s="168">
        <v>6</v>
      </c>
      <c r="I15" s="168">
        <v>7</v>
      </c>
      <c r="J15" s="339">
        <v>8</v>
      </c>
      <c r="K15" s="340">
        <v>9</v>
      </c>
      <c r="L15" s="341">
        <v>10</v>
      </c>
      <c r="M15" s="341">
        <v>11</v>
      </c>
      <c r="N15" s="341">
        <v>12</v>
      </c>
      <c r="O15" s="341">
        <v>13</v>
      </c>
      <c r="P15" s="343">
        <v>14</v>
      </c>
      <c r="Q15" s="344">
        <v>15</v>
      </c>
      <c r="R15" s="421">
        <v>16</v>
      </c>
      <c r="S15" s="428">
        <v>17</v>
      </c>
      <c r="U15" t="s">
        <v>231</v>
      </c>
    </row>
    <row r="16" spans="1:23" x14ac:dyDescent="0.35">
      <c r="A16" s="83" t="s">
        <v>181</v>
      </c>
      <c r="B16" s="97" t="s">
        <v>183</v>
      </c>
      <c r="C16" s="185">
        <v>15</v>
      </c>
      <c r="D16" s="137">
        <v>15</v>
      </c>
      <c r="E16" s="137">
        <v>18</v>
      </c>
      <c r="F16" s="137">
        <v>18</v>
      </c>
      <c r="G16" s="137">
        <v>3</v>
      </c>
      <c r="H16" s="137">
        <v>3</v>
      </c>
      <c r="I16" s="137">
        <v>45</v>
      </c>
      <c r="J16" s="154">
        <v>45</v>
      </c>
      <c r="K16" s="185">
        <v>18</v>
      </c>
      <c r="L16" s="137">
        <v>18</v>
      </c>
      <c r="M16" s="137">
        <v>35</v>
      </c>
      <c r="N16" s="137">
        <v>35</v>
      </c>
      <c r="O16" s="137">
        <v>35</v>
      </c>
      <c r="P16" s="137">
        <v>65</v>
      </c>
      <c r="Q16" s="154">
        <v>65</v>
      </c>
      <c r="R16" s="422">
        <v>10</v>
      </c>
      <c r="S16" s="153">
        <v>10</v>
      </c>
      <c r="U16" t="s">
        <v>237</v>
      </c>
    </row>
    <row r="17" spans="1:19" x14ac:dyDescent="0.35">
      <c r="B17" s="97" t="s">
        <v>184</v>
      </c>
      <c r="C17" s="185">
        <v>3</v>
      </c>
      <c r="D17" s="137">
        <v>3</v>
      </c>
      <c r="E17" s="137">
        <v>3.5999999999999996</v>
      </c>
      <c r="F17" s="137">
        <v>3.5999999999999996</v>
      </c>
      <c r="G17" s="137">
        <v>0.59999999999999964</v>
      </c>
      <c r="H17" s="137">
        <v>0.59999999999999964</v>
      </c>
      <c r="I17" s="137">
        <v>4.5</v>
      </c>
      <c r="J17" s="154">
        <v>4.5</v>
      </c>
      <c r="K17" s="185">
        <v>3.5999999999999996</v>
      </c>
      <c r="L17" s="137">
        <v>3.5999999999999996</v>
      </c>
      <c r="M17" s="137">
        <v>7</v>
      </c>
      <c r="N17" s="137">
        <v>7</v>
      </c>
      <c r="O17" s="137">
        <v>7</v>
      </c>
      <c r="P17" s="137">
        <v>6.5</v>
      </c>
      <c r="Q17" s="154">
        <v>6.5</v>
      </c>
      <c r="R17" s="423">
        <v>2</v>
      </c>
      <c r="S17" s="154">
        <v>2</v>
      </c>
    </row>
    <row r="18" spans="1:19" x14ac:dyDescent="0.35">
      <c r="B18" s="97" t="s">
        <v>16</v>
      </c>
      <c r="C18" s="185">
        <v>12</v>
      </c>
      <c r="D18" s="137">
        <v>12</v>
      </c>
      <c r="E18" s="137">
        <v>16</v>
      </c>
      <c r="F18" s="137">
        <v>16</v>
      </c>
      <c r="G18" s="137">
        <v>2</v>
      </c>
      <c r="H18" s="137">
        <v>2</v>
      </c>
      <c r="I18" s="137">
        <v>43</v>
      </c>
      <c r="J18" s="154">
        <v>43</v>
      </c>
      <c r="K18" s="185">
        <v>14</v>
      </c>
      <c r="L18" s="137">
        <v>14</v>
      </c>
      <c r="M18" s="137">
        <v>30</v>
      </c>
      <c r="N18" s="137">
        <v>30</v>
      </c>
      <c r="O18" s="137">
        <v>30</v>
      </c>
      <c r="P18" s="137">
        <v>60</v>
      </c>
      <c r="Q18" s="154">
        <v>60</v>
      </c>
      <c r="R18" s="423">
        <v>8</v>
      </c>
      <c r="S18" s="154">
        <v>8</v>
      </c>
    </row>
    <row r="19" spans="1:19" x14ac:dyDescent="0.35">
      <c r="B19" s="97" t="s">
        <v>185</v>
      </c>
      <c r="C19" s="185">
        <v>10</v>
      </c>
      <c r="D19" s="137">
        <v>10</v>
      </c>
      <c r="E19" s="137">
        <v>15</v>
      </c>
      <c r="F19" s="137">
        <v>15</v>
      </c>
      <c r="G19" s="137">
        <v>0</v>
      </c>
      <c r="H19" s="137">
        <v>0</v>
      </c>
      <c r="I19" s="137">
        <v>41</v>
      </c>
      <c r="J19" s="154">
        <v>41</v>
      </c>
      <c r="K19" s="185">
        <v>7</v>
      </c>
      <c r="L19" s="137">
        <v>7</v>
      </c>
      <c r="M19" s="137">
        <v>23</v>
      </c>
      <c r="N19" s="137">
        <v>23</v>
      </c>
      <c r="O19" s="137">
        <v>23</v>
      </c>
      <c r="P19" s="137">
        <v>55</v>
      </c>
      <c r="Q19" s="154">
        <v>55</v>
      </c>
      <c r="R19" s="423">
        <v>10</v>
      </c>
      <c r="S19" s="154">
        <v>10</v>
      </c>
    </row>
    <row r="20" spans="1:19" ht="15" thickBot="1" x14ac:dyDescent="0.4">
      <c r="B20" s="97" t="s">
        <v>186</v>
      </c>
      <c r="C20" s="185">
        <v>0</v>
      </c>
      <c r="D20" s="137">
        <v>3</v>
      </c>
      <c r="E20" s="137">
        <v>0</v>
      </c>
      <c r="F20" s="137">
        <v>5</v>
      </c>
      <c r="G20" s="137">
        <v>0</v>
      </c>
      <c r="H20" s="137">
        <v>3</v>
      </c>
      <c r="I20" s="137">
        <v>-2</v>
      </c>
      <c r="J20" s="154">
        <v>2</v>
      </c>
      <c r="K20" s="185">
        <v>0</v>
      </c>
      <c r="L20" s="137">
        <v>2</v>
      </c>
      <c r="M20" s="137">
        <v>0</v>
      </c>
      <c r="N20" s="137">
        <v>-2</v>
      </c>
      <c r="O20" s="137">
        <v>3</v>
      </c>
      <c r="P20" s="137">
        <v>0</v>
      </c>
      <c r="Q20" s="154">
        <v>5</v>
      </c>
      <c r="R20" s="424">
        <v>0</v>
      </c>
      <c r="S20" s="384">
        <v>3</v>
      </c>
    </row>
    <row r="21" spans="1:19" x14ac:dyDescent="0.35">
      <c r="A21" s="83" t="s">
        <v>189</v>
      </c>
      <c r="B21" s="96" t="s">
        <v>233</v>
      </c>
      <c r="C21" s="363">
        <v>0.11646076007039523</v>
      </c>
      <c r="D21" s="364">
        <v>0.47490555132113776</v>
      </c>
      <c r="E21" s="364">
        <v>0.10902875589187594</v>
      </c>
      <c r="F21" s="364">
        <v>0.63737288145789239</v>
      </c>
      <c r="G21" s="364">
        <v>9.6009491926355717E-2</v>
      </c>
      <c r="H21" s="365">
        <v>1.0473612918166271</v>
      </c>
      <c r="I21" s="364">
        <v>3.0861506408763799E-19</v>
      </c>
      <c r="J21" s="367">
        <v>0.38497009696511175</v>
      </c>
      <c r="K21" s="363">
        <v>0.13230108314802524</v>
      </c>
      <c r="L21" s="364">
        <v>0.28845930918640245</v>
      </c>
      <c r="M21" s="95">
        <v>0.20306980582848377</v>
      </c>
      <c r="N21" s="364">
        <v>0.12064217752204577</v>
      </c>
      <c r="O21" s="364">
        <v>0.35987047575345321</v>
      </c>
      <c r="P21" s="364">
        <v>0.16940812724489154</v>
      </c>
      <c r="Q21" s="367">
        <v>0.46696919912242529</v>
      </c>
      <c r="R21" s="425">
        <v>0.32352017318869014</v>
      </c>
      <c r="S21" s="369">
        <v>0.70158532844257038</v>
      </c>
    </row>
    <row r="22" spans="1:19" x14ac:dyDescent="0.35">
      <c r="A22" s="83"/>
      <c r="B22" s="97" t="s">
        <v>191</v>
      </c>
      <c r="C22" s="265">
        <v>0.11600000000000001</v>
      </c>
      <c r="D22" s="234">
        <v>0.47499999999999998</v>
      </c>
      <c r="E22" s="234">
        <v>0.109</v>
      </c>
      <c r="F22" s="234">
        <v>0.63700000000000001</v>
      </c>
      <c r="G22" s="234">
        <v>9.6000000000000002E-2</v>
      </c>
      <c r="H22" s="234">
        <v>1.0469999999999999</v>
      </c>
      <c r="I22" s="234">
        <v>0</v>
      </c>
      <c r="J22" s="392">
        <v>0.38500000000000001</v>
      </c>
      <c r="K22" s="265">
        <v>0.13200000000000001</v>
      </c>
      <c r="L22" s="234">
        <v>0.28899999999999998</v>
      </c>
      <c r="M22" s="234">
        <v>0.20300000000000001</v>
      </c>
      <c r="N22" s="234">
        <v>0.121</v>
      </c>
      <c r="O22" s="234">
        <v>0.36</v>
      </c>
      <c r="P22" s="234">
        <v>0.16900000000000001</v>
      </c>
      <c r="Q22" s="392">
        <v>0.46700000000000003</v>
      </c>
      <c r="R22" s="426">
        <v>0.32400000000000001</v>
      </c>
      <c r="S22" s="392">
        <v>0.70199999999999996</v>
      </c>
    </row>
    <row r="23" spans="1:19" x14ac:dyDescent="0.35">
      <c r="B23" s="97" t="s">
        <v>193</v>
      </c>
      <c r="C23" s="414">
        <v>0.1166</v>
      </c>
      <c r="D23" s="415">
        <v>0.47470000000000001</v>
      </c>
      <c r="E23" s="415">
        <v>0.10929999999999999</v>
      </c>
      <c r="F23" s="415">
        <v>0.63719999999999999</v>
      </c>
      <c r="G23" s="415">
        <v>9.6189999999999998E-2</v>
      </c>
      <c r="H23" s="416">
        <v>1.119</v>
      </c>
      <c r="I23" s="415">
        <v>0</v>
      </c>
      <c r="J23" s="417">
        <v>0.38529999999999998</v>
      </c>
      <c r="K23" s="414">
        <v>0.13200000000000001</v>
      </c>
      <c r="L23" s="415">
        <v>0.28839999999999999</v>
      </c>
      <c r="M23" s="234">
        <v>0.20300000000000001</v>
      </c>
      <c r="N23" s="415">
        <v>0.1205</v>
      </c>
      <c r="O23" s="415">
        <v>0.3599</v>
      </c>
      <c r="P23" s="415">
        <v>0.16950000000000001</v>
      </c>
      <c r="Q23" s="417">
        <v>0.46689999999999998</v>
      </c>
      <c r="R23" s="426">
        <v>0.3226</v>
      </c>
      <c r="S23" s="392">
        <v>0.70240000000000002</v>
      </c>
    </row>
    <row r="24" spans="1:19" ht="15" thickBot="1" x14ac:dyDescent="0.4">
      <c r="A24" s="83"/>
      <c r="B24" s="253" t="s">
        <v>192</v>
      </c>
      <c r="C24" s="418">
        <v>6.6106355804773753E-2</v>
      </c>
      <c r="D24" s="419">
        <v>6.6106355804773753E-2</v>
      </c>
      <c r="E24" s="419">
        <v>9.0392925235616234E-2</v>
      </c>
      <c r="F24" s="419">
        <v>9.0392925235616234E-2</v>
      </c>
      <c r="G24" s="419">
        <v>0.11947588068203675</v>
      </c>
      <c r="H24" s="419">
        <v>0.11947588068203675</v>
      </c>
      <c r="I24" s="419">
        <v>3.8181470149056415E-2</v>
      </c>
      <c r="J24" s="420">
        <v>3.8181470149056415E-2</v>
      </c>
      <c r="K24" s="418">
        <v>9.518590207321817E-2</v>
      </c>
      <c r="L24" s="419">
        <v>9.518590207321817E-2</v>
      </c>
      <c r="M24" s="419">
        <v>7.9175087342325506E-2</v>
      </c>
      <c r="N24" s="419">
        <v>7.9175087342325506E-2</v>
      </c>
      <c r="O24" s="419">
        <v>7.9175087342325506E-2</v>
      </c>
      <c r="P24" s="419">
        <v>3.6813027285409951E-2</v>
      </c>
      <c r="Q24" s="420">
        <v>3.6813027285409951E-2</v>
      </c>
      <c r="R24" s="427">
        <v>0.41647004157007461</v>
      </c>
      <c r="S24" s="429">
        <v>0.41647004157007461</v>
      </c>
    </row>
    <row r="25" spans="1:19" ht="15" thickBot="1" x14ac:dyDescent="0.4">
      <c r="C25" s="230"/>
    </row>
    <row r="26" spans="1:19" ht="15" thickBot="1" x14ac:dyDescent="0.4">
      <c r="B26" s="461" t="s">
        <v>234</v>
      </c>
      <c r="C26" s="463">
        <f>C22/C23</f>
        <v>0.99485420240137235</v>
      </c>
      <c r="D26" s="463">
        <f t="shared" ref="D26:S26" si="1">D22/D23</f>
        <v>1.0006319780914261</v>
      </c>
      <c r="E26" s="463">
        <f t="shared" si="1"/>
        <v>0.99725526075022874</v>
      </c>
      <c r="F26" s="463">
        <f t="shared" si="1"/>
        <v>0.99968612680477087</v>
      </c>
      <c r="G26" s="463">
        <f t="shared" si="1"/>
        <v>0.99802474269674601</v>
      </c>
      <c r="H26" s="471">
        <f t="shared" si="1"/>
        <v>0.93565683646112596</v>
      </c>
      <c r="I26" s="463">
        <v>1</v>
      </c>
      <c r="J26" s="463">
        <f t="shared" si="1"/>
        <v>0.99922138593303933</v>
      </c>
      <c r="K26" s="463">
        <f t="shared" si="1"/>
        <v>1</v>
      </c>
      <c r="L26" s="463">
        <f t="shared" si="1"/>
        <v>1.0020804438280166</v>
      </c>
      <c r="M26" s="463">
        <f t="shared" si="1"/>
        <v>1</v>
      </c>
      <c r="N26" s="463">
        <f t="shared" si="1"/>
        <v>1.004149377593361</v>
      </c>
      <c r="O26" s="463">
        <f t="shared" si="1"/>
        <v>1.0002778549597111</v>
      </c>
      <c r="P26" s="463">
        <f t="shared" si="1"/>
        <v>0.99705014749262533</v>
      </c>
      <c r="Q26" s="463">
        <f t="shared" si="1"/>
        <v>1.0002141786249734</v>
      </c>
      <c r="R26" s="463">
        <f t="shared" si="1"/>
        <v>1.0043397396156231</v>
      </c>
      <c r="S26" s="464">
        <f t="shared" si="1"/>
        <v>0.99943052391799536</v>
      </c>
    </row>
    <row r="27" spans="1:19" x14ac:dyDescent="0.35">
      <c r="C27" s="460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460"/>
      <c r="P27" s="460"/>
      <c r="Q27" s="460"/>
      <c r="R27" s="460"/>
      <c r="S27" s="460"/>
    </row>
    <row r="28" spans="1:19" ht="15" thickBot="1" x14ac:dyDescent="0.4">
      <c r="A28" s="338" t="s">
        <v>238</v>
      </c>
    </row>
    <row r="29" spans="1:19" ht="15" thickBot="1" x14ac:dyDescent="0.4">
      <c r="B29" s="247"/>
      <c r="C29" s="547" t="s">
        <v>224</v>
      </c>
      <c r="D29" s="548"/>
      <c r="E29" s="549"/>
      <c r="F29" s="547" t="s">
        <v>239</v>
      </c>
      <c r="G29" s="548"/>
      <c r="H29" s="549"/>
      <c r="I29" s="547" t="s">
        <v>226</v>
      </c>
      <c r="J29" s="549"/>
      <c r="L29" s="83" t="s">
        <v>240</v>
      </c>
    </row>
    <row r="30" spans="1:19" x14ac:dyDescent="0.35">
      <c r="B30" s="143" t="s">
        <v>180</v>
      </c>
      <c r="C30" s="349">
        <v>1</v>
      </c>
      <c r="D30" s="386">
        <v>2</v>
      </c>
      <c r="E30" s="350">
        <v>3</v>
      </c>
      <c r="F30" s="347">
        <v>4</v>
      </c>
      <c r="G30" s="387">
        <v>5</v>
      </c>
      <c r="H30" s="348">
        <v>6</v>
      </c>
      <c r="I30" s="391">
        <v>7</v>
      </c>
      <c r="J30" s="388">
        <v>8</v>
      </c>
      <c r="L30" t="s">
        <v>241</v>
      </c>
    </row>
    <row r="31" spans="1:19" x14ac:dyDescent="0.35">
      <c r="A31" s="83" t="s">
        <v>181</v>
      </c>
      <c r="B31" s="97" t="s">
        <v>183</v>
      </c>
      <c r="C31" s="185">
        <v>3</v>
      </c>
      <c r="D31" s="137">
        <v>4</v>
      </c>
      <c r="E31" s="154">
        <v>4</v>
      </c>
      <c r="F31" s="185">
        <v>10</v>
      </c>
      <c r="G31" s="137">
        <v>10</v>
      </c>
      <c r="H31" s="154">
        <v>10</v>
      </c>
      <c r="I31" s="361">
        <v>15</v>
      </c>
      <c r="J31" s="154">
        <v>15</v>
      </c>
      <c r="L31" t="s">
        <v>242</v>
      </c>
    </row>
    <row r="32" spans="1:19" x14ac:dyDescent="0.35">
      <c r="B32" s="97" t="s">
        <v>184</v>
      </c>
      <c r="C32" s="185">
        <v>0.59999999999999964</v>
      </c>
      <c r="D32" s="137">
        <v>0.8</v>
      </c>
      <c r="E32" s="154">
        <v>0.8</v>
      </c>
      <c r="F32" s="185">
        <v>2</v>
      </c>
      <c r="G32" s="137">
        <v>2</v>
      </c>
      <c r="H32" s="154">
        <v>2</v>
      </c>
      <c r="I32" s="361">
        <v>3</v>
      </c>
      <c r="J32" s="154">
        <v>3</v>
      </c>
      <c r="L32" t="s">
        <v>243</v>
      </c>
    </row>
    <row r="33" spans="1:14" x14ac:dyDescent="0.35">
      <c r="B33" s="97" t="s">
        <v>185</v>
      </c>
      <c r="C33" s="185">
        <v>0</v>
      </c>
      <c r="D33" s="137">
        <v>0</v>
      </c>
      <c r="E33" s="154">
        <v>0</v>
      </c>
      <c r="F33" s="185">
        <v>0</v>
      </c>
      <c r="G33" s="137">
        <v>10</v>
      </c>
      <c r="H33" s="154">
        <v>10</v>
      </c>
      <c r="I33" s="361">
        <v>10</v>
      </c>
      <c r="J33" s="154">
        <v>10</v>
      </c>
    </row>
    <row r="34" spans="1:14" ht="15" thickBot="1" x14ac:dyDescent="0.4">
      <c r="B34" s="253" t="s">
        <v>8</v>
      </c>
      <c r="C34" s="383">
        <v>0.8</v>
      </c>
      <c r="D34" s="389">
        <v>0.8</v>
      </c>
      <c r="E34" s="384">
        <v>0.6</v>
      </c>
      <c r="F34" s="383">
        <v>0.8</v>
      </c>
      <c r="G34" s="389">
        <v>0.8</v>
      </c>
      <c r="H34" s="384">
        <v>0.6</v>
      </c>
      <c r="I34" s="390">
        <v>0.8</v>
      </c>
      <c r="J34" s="384">
        <v>0.6</v>
      </c>
      <c r="M34" s="260"/>
    </row>
    <row r="35" spans="1:14" x14ac:dyDescent="0.35">
      <c r="A35" s="83" t="s">
        <v>244</v>
      </c>
      <c r="B35" s="119" t="s">
        <v>245</v>
      </c>
      <c r="C35" s="472">
        <v>0.20947225836332536</v>
      </c>
      <c r="D35" s="398">
        <v>0.17888772266673258</v>
      </c>
      <c r="E35" s="399">
        <v>0.35777544533346528</v>
      </c>
      <c r="F35" s="397">
        <v>0.33829317178942747</v>
      </c>
      <c r="G35" s="398">
        <v>0.47657886972187535</v>
      </c>
      <c r="H35" s="399">
        <v>0.95315773944375093</v>
      </c>
      <c r="I35" s="400">
        <v>0.6916795563365622</v>
      </c>
      <c r="J35" s="399">
        <v>1.3833591126731246</v>
      </c>
      <c r="M35" s="260"/>
    </row>
    <row r="36" spans="1:14" x14ac:dyDescent="0.35">
      <c r="B36" s="97" t="s">
        <v>246</v>
      </c>
      <c r="C36" s="473">
        <v>0.83788903345330168</v>
      </c>
      <c r="D36" s="234">
        <v>0.71555089066693056</v>
      </c>
      <c r="E36" s="392">
        <v>0.53666316800019787</v>
      </c>
      <c r="F36" s="265">
        <v>1.3531726871577103</v>
      </c>
      <c r="G36" s="234">
        <v>1.9063154788875019</v>
      </c>
      <c r="H36" s="392">
        <v>1.4297366091656263</v>
      </c>
      <c r="I36" s="393">
        <v>2.7667182253462492</v>
      </c>
      <c r="J36" s="392">
        <v>2.0750386690096869</v>
      </c>
      <c r="M36" s="261"/>
    </row>
    <row r="37" spans="1:14" x14ac:dyDescent="0.35">
      <c r="B37" s="395" t="s">
        <v>247</v>
      </c>
      <c r="C37" s="262">
        <v>0.20899999999999999</v>
      </c>
      <c r="D37" s="266">
        <v>0.17899999999999999</v>
      </c>
      <c r="E37" s="264">
        <v>0.35799999999999998</v>
      </c>
      <c r="F37" s="262">
        <v>0.33800000000000002</v>
      </c>
      <c r="G37" s="266">
        <v>0.47699999999999998</v>
      </c>
      <c r="H37" s="264">
        <v>0.95299999999999996</v>
      </c>
      <c r="I37" s="401">
        <v>0.69199999999999995</v>
      </c>
      <c r="J37" s="264">
        <v>1.3839999999999999</v>
      </c>
      <c r="M37" s="261"/>
    </row>
    <row r="38" spans="1:14" x14ac:dyDescent="0.35">
      <c r="B38" s="396" t="s">
        <v>248</v>
      </c>
      <c r="C38" s="262">
        <v>0.83799999999999997</v>
      </c>
      <c r="D38" s="266">
        <v>0.71599999999999997</v>
      </c>
      <c r="E38" s="264">
        <v>0.53700000000000003</v>
      </c>
      <c r="F38" s="262">
        <v>1.353</v>
      </c>
      <c r="G38" s="266">
        <v>1.9059999999999999</v>
      </c>
      <c r="H38" s="264">
        <v>1.43</v>
      </c>
      <c r="I38" s="401">
        <v>2.7690000000000001</v>
      </c>
      <c r="J38" s="264">
        <v>2.0760000000000001</v>
      </c>
    </row>
    <row r="39" spans="1:14" x14ac:dyDescent="0.35">
      <c r="A39" s="83"/>
      <c r="B39" s="97" t="s">
        <v>249</v>
      </c>
      <c r="C39" s="473">
        <v>0.22259999999999999</v>
      </c>
      <c r="D39" s="234">
        <v>0.17810000000000001</v>
      </c>
      <c r="E39" s="392">
        <v>0.3614</v>
      </c>
      <c r="F39" s="265">
        <v>0.3246</v>
      </c>
      <c r="G39" s="234">
        <v>0.4909</v>
      </c>
      <c r="H39" s="392">
        <v>0.96389999999999998</v>
      </c>
      <c r="I39" s="393">
        <v>0.69069999999999998</v>
      </c>
      <c r="J39" s="392">
        <v>1.3879999999999999</v>
      </c>
    </row>
    <row r="40" spans="1:14" ht="15" thickBot="1" x14ac:dyDescent="0.4">
      <c r="B40" s="98" t="s">
        <v>250</v>
      </c>
      <c r="C40" s="474">
        <v>0.89439999999999997</v>
      </c>
      <c r="D40" s="377">
        <v>0.71940000000000004</v>
      </c>
      <c r="E40" s="378">
        <v>0.53890000000000005</v>
      </c>
      <c r="F40" s="402">
        <v>1.3169999999999999</v>
      </c>
      <c r="G40" s="377">
        <v>1.9450000000000001</v>
      </c>
      <c r="H40" s="378">
        <v>1.4650000000000001</v>
      </c>
      <c r="I40" s="403">
        <v>2.794</v>
      </c>
      <c r="J40" s="378">
        <v>2.101</v>
      </c>
    </row>
    <row r="41" spans="1:14" ht="15" thickBot="1" x14ac:dyDescent="0.4">
      <c r="C41" s="465"/>
      <c r="D41" s="465"/>
      <c r="E41" s="465"/>
      <c r="F41" s="465"/>
      <c r="G41" s="465"/>
      <c r="H41" s="465"/>
      <c r="I41" s="465"/>
      <c r="J41" s="465"/>
    </row>
    <row r="42" spans="1:14" ht="15" thickBot="1" x14ac:dyDescent="0.4">
      <c r="A42" s="466" t="s">
        <v>251</v>
      </c>
      <c r="B42" s="461" t="s">
        <v>234</v>
      </c>
      <c r="C42" s="475">
        <f>C37/C39</f>
        <v>0.93890386343216536</v>
      </c>
      <c r="D42" s="467">
        <f t="shared" ref="D42:J42" si="2">D37/D39</f>
        <v>1.0050533408197642</v>
      </c>
      <c r="E42" s="467">
        <f t="shared" si="2"/>
        <v>0.99059214167127829</v>
      </c>
      <c r="F42" s="467">
        <f t="shared" si="2"/>
        <v>1.0412815773259396</v>
      </c>
      <c r="G42" s="485">
        <f t="shared" si="2"/>
        <v>0.97168466082705229</v>
      </c>
      <c r="H42" s="467">
        <f t="shared" si="2"/>
        <v>0.98869177300549849</v>
      </c>
      <c r="I42" s="467">
        <f t="shared" si="2"/>
        <v>1.0018821485449543</v>
      </c>
      <c r="J42" s="468">
        <f t="shared" si="2"/>
        <v>0.99711815561959649</v>
      </c>
    </row>
    <row r="43" spans="1:14" ht="15" thickBot="1" x14ac:dyDescent="0.4">
      <c r="A43" s="466" t="s">
        <v>252</v>
      </c>
      <c r="B43" s="461" t="s">
        <v>234</v>
      </c>
      <c r="C43" s="476">
        <f>C38/C40</f>
        <v>0.9369409660107334</v>
      </c>
      <c r="D43" s="469">
        <f t="shared" ref="D43:J43" si="3">D38/D40</f>
        <v>0.99527383931053648</v>
      </c>
      <c r="E43" s="469">
        <f t="shared" si="3"/>
        <v>0.99647429949897937</v>
      </c>
      <c r="F43" s="469">
        <f t="shared" si="3"/>
        <v>1.0273348519362187</v>
      </c>
      <c r="G43" s="486">
        <f t="shared" si="3"/>
        <v>0.97994858611825186</v>
      </c>
      <c r="H43" s="469">
        <f t="shared" si="3"/>
        <v>0.97610921501706471</v>
      </c>
      <c r="I43" s="469">
        <f t="shared" si="3"/>
        <v>0.99105225483178239</v>
      </c>
      <c r="J43" s="470">
        <f t="shared" si="3"/>
        <v>0.98810090433127085</v>
      </c>
    </row>
    <row r="44" spans="1:14" x14ac:dyDescent="0.35">
      <c r="C44" s="460"/>
      <c r="D44" s="460"/>
      <c r="E44" s="460"/>
      <c r="F44" s="460"/>
      <c r="G44" s="460"/>
      <c r="H44" s="460"/>
      <c r="I44" s="460"/>
      <c r="J44" s="460"/>
    </row>
    <row r="45" spans="1:14" ht="15" thickBot="1" x14ac:dyDescent="0.4">
      <c r="A45" s="338" t="s">
        <v>253</v>
      </c>
      <c r="B45" s="352"/>
      <c r="C45" s="352"/>
    </row>
    <row r="46" spans="1:14" ht="15" thickBot="1" x14ac:dyDescent="0.4">
      <c r="C46" s="547" t="s">
        <v>224</v>
      </c>
      <c r="D46" s="548"/>
      <c r="E46" s="548"/>
      <c r="F46" s="549"/>
      <c r="G46" s="547" t="s">
        <v>225</v>
      </c>
      <c r="H46" s="548"/>
      <c r="I46" s="548"/>
      <c r="J46" s="549"/>
      <c r="K46" s="547" t="s">
        <v>227</v>
      </c>
      <c r="L46" s="549"/>
      <c r="N46" s="83" t="s">
        <v>254</v>
      </c>
    </row>
    <row r="47" spans="1:14" ht="15" thickBot="1" x14ac:dyDescent="0.4">
      <c r="B47" s="143" t="s">
        <v>180</v>
      </c>
      <c r="C47" s="182">
        <v>1</v>
      </c>
      <c r="D47" s="168">
        <v>2</v>
      </c>
      <c r="E47" s="168">
        <v>3</v>
      </c>
      <c r="F47" s="339">
        <v>4</v>
      </c>
      <c r="G47" s="438">
        <v>5</v>
      </c>
      <c r="H47" s="360">
        <v>6</v>
      </c>
      <c r="I47" s="343">
        <v>7</v>
      </c>
      <c r="J47" s="344">
        <v>8</v>
      </c>
      <c r="K47" s="421">
        <v>9</v>
      </c>
      <c r="L47" s="428">
        <v>10</v>
      </c>
      <c r="N47" t="s">
        <v>255</v>
      </c>
    </row>
    <row r="48" spans="1:14" x14ac:dyDescent="0.35">
      <c r="A48" s="83" t="s">
        <v>256</v>
      </c>
      <c r="B48" s="97" t="s">
        <v>257</v>
      </c>
      <c r="C48" s="185">
        <v>3</v>
      </c>
      <c r="D48" s="137">
        <v>3</v>
      </c>
      <c r="E48" s="137">
        <v>4</v>
      </c>
      <c r="F48" s="154">
        <v>4</v>
      </c>
      <c r="G48" s="361">
        <v>5</v>
      </c>
      <c r="H48" s="361">
        <v>5</v>
      </c>
      <c r="I48" s="137">
        <v>8</v>
      </c>
      <c r="J48" s="154">
        <v>8</v>
      </c>
      <c r="K48" s="423">
        <v>10</v>
      </c>
      <c r="L48" s="154">
        <v>10</v>
      </c>
      <c r="N48" t="s">
        <v>258</v>
      </c>
    </row>
    <row r="49" spans="1:12" x14ac:dyDescent="0.35">
      <c r="B49" s="97" t="s">
        <v>259</v>
      </c>
      <c r="C49" s="185" t="s">
        <v>260</v>
      </c>
      <c r="D49" s="137" t="s">
        <v>142</v>
      </c>
      <c r="E49" s="137" t="s">
        <v>260</v>
      </c>
      <c r="F49" s="154" t="s">
        <v>142</v>
      </c>
      <c r="G49" s="361" t="s">
        <v>260</v>
      </c>
      <c r="H49" s="361" t="s">
        <v>142</v>
      </c>
      <c r="I49" s="137" t="s">
        <v>260</v>
      </c>
      <c r="J49" s="154" t="s">
        <v>142</v>
      </c>
      <c r="K49" s="423" t="s">
        <v>260</v>
      </c>
      <c r="L49" s="154" t="s">
        <v>142</v>
      </c>
    </row>
    <row r="50" spans="1:12" x14ac:dyDescent="0.35">
      <c r="B50" s="97" t="s">
        <v>261</v>
      </c>
      <c r="C50" s="436" t="s">
        <v>262</v>
      </c>
      <c r="D50" s="137">
        <v>0.2</v>
      </c>
      <c r="E50" s="437" t="s">
        <v>262</v>
      </c>
      <c r="F50" s="154">
        <v>0.3</v>
      </c>
      <c r="G50" s="439" t="s">
        <v>262</v>
      </c>
      <c r="H50" s="361">
        <v>0.4</v>
      </c>
      <c r="I50" s="437" t="s">
        <v>262</v>
      </c>
      <c r="J50" s="154">
        <v>0.5</v>
      </c>
      <c r="K50" s="440" t="s">
        <v>262</v>
      </c>
      <c r="L50" s="154">
        <v>0.2</v>
      </c>
    </row>
    <row r="51" spans="1:12" ht="15" thickBot="1" x14ac:dyDescent="0.4">
      <c r="B51" s="119" t="s">
        <v>263</v>
      </c>
      <c r="C51" s="444">
        <v>24</v>
      </c>
      <c r="D51" s="445">
        <v>24</v>
      </c>
      <c r="E51" s="445">
        <v>168</v>
      </c>
      <c r="F51" s="446">
        <v>168</v>
      </c>
      <c r="G51" s="447">
        <v>24</v>
      </c>
      <c r="H51" s="447">
        <v>24</v>
      </c>
      <c r="I51" s="445">
        <v>168</v>
      </c>
      <c r="J51" s="446">
        <v>168</v>
      </c>
      <c r="K51" s="448">
        <v>168</v>
      </c>
      <c r="L51" s="446">
        <v>168</v>
      </c>
    </row>
    <row r="52" spans="1:12" x14ac:dyDescent="0.35">
      <c r="A52" s="83" t="s">
        <v>157</v>
      </c>
      <c r="B52" s="96" t="s">
        <v>233</v>
      </c>
      <c r="C52" s="449">
        <v>9.1240875912408756E-4</v>
      </c>
      <c r="D52" s="450">
        <v>3.3458681826328752E-2</v>
      </c>
      <c r="E52" s="450">
        <v>4.7716428084526247E-3</v>
      </c>
      <c r="F52" s="443">
        <v>4.1009526915903996E-2</v>
      </c>
      <c r="G52" s="449">
        <v>5.4764512595837896E-4</v>
      </c>
      <c r="H52" s="450">
        <v>3.9460150470433705E-2</v>
      </c>
      <c r="I52" s="450">
        <v>2.3915271609156134E-3</v>
      </c>
      <c r="J52" s="443">
        <v>3.2856532815485021E-2</v>
      </c>
      <c r="K52" s="451">
        <v>1.9141372709871483E-3</v>
      </c>
      <c r="L52" s="443">
        <v>1.1809998370650674E-2</v>
      </c>
    </row>
    <row r="53" spans="1:12" x14ac:dyDescent="0.35">
      <c r="A53" s="83"/>
      <c r="B53" s="97" t="s">
        <v>191</v>
      </c>
      <c r="C53" s="452">
        <v>9.1232876712328765E-4</v>
      </c>
      <c r="D53" s="453">
        <v>3.3458675799086755E-2</v>
      </c>
      <c r="E53" s="453">
        <v>4.7716894977168946E-3</v>
      </c>
      <c r="F53" s="454">
        <v>4.100958904109589E-2</v>
      </c>
      <c r="G53" s="452">
        <v>5.476027397260274E-4</v>
      </c>
      <c r="H53" s="453">
        <v>3.9460159817351598E-2</v>
      </c>
      <c r="I53" s="453">
        <v>2.3915525114155253E-3</v>
      </c>
      <c r="J53" s="454">
        <v>3.285650684931507E-2</v>
      </c>
      <c r="K53" s="455">
        <v>1.914111763426832E-3</v>
      </c>
      <c r="L53" s="454">
        <v>1.1810013046314417E-2</v>
      </c>
    </row>
    <row r="54" spans="1:12" ht="15" thickBot="1" x14ac:dyDescent="0.4">
      <c r="A54" s="83"/>
      <c r="B54" s="98" t="s">
        <v>264</v>
      </c>
      <c r="C54" s="456">
        <v>9.1239999999999995E-4</v>
      </c>
      <c r="D54" s="457">
        <v>3.3459999999999997E-2</v>
      </c>
      <c r="E54" s="457">
        <v>4.7720000000000002E-3</v>
      </c>
      <c r="F54" s="458">
        <v>4.1009999999999998E-2</v>
      </c>
      <c r="G54" s="456">
        <v>5.4759999999999997E-4</v>
      </c>
      <c r="H54" s="457">
        <v>3.9460000000000002E-2</v>
      </c>
      <c r="I54" s="457">
        <v>2.392E-3</v>
      </c>
      <c r="J54" s="458">
        <v>3.286E-2</v>
      </c>
      <c r="K54" s="459">
        <v>1.9139999999999999E-3</v>
      </c>
      <c r="L54" s="458">
        <v>1.1809999999999999E-2</v>
      </c>
    </row>
    <row r="55" spans="1:12" ht="15" thickBot="1" x14ac:dyDescent="0.4"/>
    <row r="56" spans="1:12" ht="15" thickBot="1" x14ac:dyDescent="0.4">
      <c r="B56" s="461" t="s">
        <v>234</v>
      </c>
      <c r="C56" s="462">
        <f>C53/C54</f>
        <v>0.99992192801763224</v>
      </c>
      <c r="D56" s="463">
        <f t="shared" ref="D56:L56" si="4">D53/D54</f>
        <v>0.99996042436003463</v>
      </c>
      <c r="E56" s="463">
        <f t="shared" si="4"/>
        <v>0.99993493246372467</v>
      </c>
      <c r="F56" s="463">
        <f t="shared" si="4"/>
        <v>0.99998997905622755</v>
      </c>
      <c r="G56" s="463">
        <f t="shared" si="4"/>
        <v>1.0000050031519858</v>
      </c>
      <c r="H56" s="463">
        <f t="shared" si="4"/>
        <v>1.0000040501102787</v>
      </c>
      <c r="I56" s="463">
        <f t="shared" si="4"/>
        <v>0.9998129228325775</v>
      </c>
      <c r="J56" s="463">
        <f t="shared" si="4"/>
        <v>0.99989369596211408</v>
      </c>
      <c r="K56" s="463">
        <f t="shared" si="4"/>
        <v>1.0000583925950011</v>
      </c>
      <c r="L56" s="464">
        <f t="shared" si="4"/>
        <v>1.0000011046836932</v>
      </c>
    </row>
  </sheetData>
  <mergeCells count="12">
    <mergeCell ref="C46:F46"/>
    <mergeCell ref="G46:J46"/>
    <mergeCell ref="K46:L46"/>
    <mergeCell ref="R14:S14"/>
    <mergeCell ref="K2:N2"/>
    <mergeCell ref="C14:J14"/>
    <mergeCell ref="K14:Q14"/>
    <mergeCell ref="C29:E29"/>
    <mergeCell ref="F29:H29"/>
    <mergeCell ref="I29:J29"/>
    <mergeCell ref="C2:G2"/>
    <mergeCell ref="H2:J2"/>
  </mergeCells>
  <pageMargins left="0.7" right="0.7" top="0.75" bottom="0.75" header="0.3" footer="0.3"/>
  <pageSetup paperSize="9"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a44fa6-e4b2-4bdc-939e-ac4cc41b266e">
      <Terms xmlns="http://schemas.microsoft.com/office/infopath/2007/PartnerControls"/>
    </lcf76f155ced4ddcb4097134ff3c332f>
    <TaxCatchAll xmlns="373452e9-bd0c-495c-9bb0-ffc7c07002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61D55DA0FFDA46A402AEE6B0F255DD" ma:contentTypeVersion="13" ma:contentTypeDescription="Create a new document." ma:contentTypeScope="" ma:versionID="6624861bba1271e63139b4512fba7b44">
  <xsd:schema xmlns:xsd="http://www.w3.org/2001/XMLSchema" xmlns:xs="http://www.w3.org/2001/XMLSchema" xmlns:p="http://schemas.microsoft.com/office/2006/metadata/properties" xmlns:ns2="5fa44fa6-e4b2-4bdc-939e-ac4cc41b266e" xmlns:ns3="373452e9-bd0c-495c-9bb0-ffc7c07002f8" targetNamespace="http://schemas.microsoft.com/office/2006/metadata/properties" ma:root="true" ma:fieldsID="d3f49380cabc80e577536fde5261b3f2" ns2:_="" ns3:_="">
    <xsd:import namespace="5fa44fa6-e4b2-4bdc-939e-ac4cc41b266e"/>
    <xsd:import namespace="373452e9-bd0c-495c-9bb0-ffc7c0700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44fa6-e4b2-4bdc-939e-ac4cc41b26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00b9b71-49ff-4310-b119-d51b9088e4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3452e9-bd0c-495c-9bb0-ffc7c07002f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604de9e-0dcb-4dcb-ac91-9ac82e48a6be}" ma:internalName="TaxCatchAll" ma:showField="CatchAllData" ma:web="373452e9-bd0c-495c-9bb0-ffc7c0700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628AC2-51F5-4407-B91A-8226A4DAF464}">
  <ds:schemaRefs>
    <ds:schemaRef ds:uri="http://schemas.microsoft.com/office/2006/metadata/properties"/>
    <ds:schemaRef ds:uri="http://schemas.microsoft.com/office/infopath/2007/PartnerControls"/>
    <ds:schemaRef ds:uri="5fa44fa6-e4b2-4bdc-939e-ac4cc41b266e"/>
    <ds:schemaRef ds:uri="373452e9-bd0c-495c-9bb0-ffc7c07002f8"/>
  </ds:schemaRefs>
</ds:datastoreItem>
</file>

<file path=customXml/itemProps2.xml><?xml version="1.0" encoding="utf-8"?>
<ds:datastoreItem xmlns:ds="http://schemas.openxmlformats.org/officeDocument/2006/customXml" ds:itemID="{C01B6015-4969-4539-AFBF-F6D222C97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a44fa6-e4b2-4bdc-939e-ac4cc41b266e"/>
    <ds:schemaRef ds:uri="373452e9-bd0c-495c-9bb0-ffc7c07002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477942-B0AE-4AE7-AE10-2CCC33BD62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8</vt:i4>
      </vt:variant>
      <vt:variant>
        <vt:lpstr>Benoemde bereiken</vt:lpstr>
      </vt:variant>
      <vt:variant>
        <vt:i4>6</vt:i4>
      </vt:variant>
    </vt:vector>
  </HeadingPairs>
  <TitlesOfParts>
    <vt:vector size="14" baseType="lpstr">
      <vt:lpstr>GAO_oud</vt:lpstr>
      <vt:lpstr>SAO</vt:lpstr>
      <vt:lpstr>GAO</vt:lpstr>
      <vt:lpstr>TAO</vt:lpstr>
      <vt:lpstr>Random</vt:lpstr>
      <vt:lpstr>RCMCost verg. uitk. GAO</vt:lpstr>
      <vt:lpstr>Fixed</vt:lpstr>
      <vt:lpstr>Resultaten vergelijking RCMCost</vt:lpstr>
      <vt:lpstr>CM_kosten__€_taak</vt:lpstr>
      <vt:lpstr>Hersteltijd_CM__uur</vt:lpstr>
      <vt:lpstr>IA__jaar</vt:lpstr>
      <vt:lpstr>LCC__jaar</vt:lpstr>
      <vt:lpstr>MTTF__jaar</vt:lpstr>
      <vt:lpstr>St_def.__jaar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DP-OUM;Reinder Roos</dc:creator>
  <cp:keywords/>
  <dc:description/>
  <cp:lastModifiedBy>Reinder Roos</cp:lastModifiedBy>
  <cp:revision/>
  <dcterms:created xsi:type="dcterms:W3CDTF">2018-03-29T05:34:00Z</dcterms:created>
  <dcterms:modified xsi:type="dcterms:W3CDTF">2026-05-27T08:11:18Z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0x0101003C61D55DA0FFDA46A402AEE6B0F255DD</vt:lpwstr>
  </property>
  <property fmtid="{D5CDD505-2E9C-101B-9397-08002B2CF9AE}" pid="3" name="MediaServiceImageTags">
    <vt:lpwstr/>
  </property>
</Properties>
</file>